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체크리스트" sheetId="1" state="visible" r:id="rId3"/>
    <sheet name="작성 안내" sheetId="2" state="visible" r:id="rId4"/>
  </sheets>
  <definedNames>
    <definedName function="false" hidden="false" localSheetId="0" name="_xlnm.Print_Area" vbProcedure="false">체크리스트!$B$2:$I$46</definedName>
    <definedName function="false" hidden="false" localSheetId="0" name="_xlnm.Print_Titles" vbProcedure="false">체크리스트!$8:$8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<sst xmlns="http://schemas.openxmlformats.org/spreadsheetml/2006/main" count="158" uniqueCount="133">
  <si>
    <r>
      <rPr>
        <b val="true"/>
        <sz val="14"/>
        <rFont val="맑은 고딕"/>
        <family val="3"/>
        <charset val="129"/>
      </rPr>
      <t xml:space="preserve">[SSAFY] AI </t>
    </r>
    <r>
      <rPr>
        <b val="true"/>
        <sz val="14"/>
        <rFont val="Noto Sans CJK SC"/>
        <family val="2"/>
      </rPr>
      <t xml:space="preserve">코어 프로젝트 </t>
    </r>
    <r>
      <rPr>
        <b val="true"/>
        <sz val="14"/>
        <rFont val="맑은 고딕"/>
        <family val="3"/>
        <charset val="129"/>
      </rPr>
      <t xml:space="preserve">2</t>
    </r>
    <r>
      <rPr>
        <b val="true"/>
        <sz val="14"/>
        <rFont val="Noto Sans CJK SC"/>
        <family val="2"/>
      </rPr>
      <t xml:space="preserve">회차 — 셀프 </t>
    </r>
    <r>
      <rPr>
        <b val="true"/>
        <sz val="14"/>
        <rFont val="맑은 고딕"/>
        <family val="3"/>
        <charset val="129"/>
      </rPr>
      <t xml:space="preserve">· </t>
    </r>
    <r>
      <rPr>
        <b val="true"/>
        <sz val="14"/>
        <rFont val="Noto Sans CJK SC"/>
        <family val="2"/>
      </rPr>
      <t xml:space="preserve">상호 체크리스트</t>
    </r>
  </si>
  <si>
    <t xml:space="preserve">점검 유형</t>
  </si>
  <si>
    <r>
      <rPr>
        <sz val="10"/>
        <rFont val="Noto Sans CJK SC"/>
        <family val="2"/>
      </rPr>
      <t xml:space="preserve">결과 기입 기준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통과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직접 실행해 기대한 결과를 확인함 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증명이 필요한 항목은 증빙 첨부</t>
    </r>
    <r>
      <rPr>
        <sz val="10"/>
        <rFont val="맑은 고딕"/>
        <family val="3"/>
        <charset val="129"/>
      </rPr>
      <t xml:space="preserve">)
· </t>
    </r>
    <r>
      <rPr>
        <sz val="10"/>
        <rFont val="Noto Sans CJK SC"/>
        <family val="2"/>
      </rPr>
      <t xml:space="preserve">실패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실행했으나 기대와 다름 → 비고에 사유와 조치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미확인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실행하지 못함 → 비고에 사유
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해당없음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선택하지 않은 심화 항목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해당하지 않는 도메인 항목
※ 확인하지 않은 것을 통과로 적지 않습니다</t>
    </r>
    <r>
      <rPr>
        <sz val="10"/>
        <rFont val="맑은 고딕"/>
        <family val="3"/>
        <charset val="129"/>
      </rPr>
      <t xml:space="preserve">.</t>
    </r>
  </si>
  <si>
    <t xml:space="preserve">앱 작성자</t>
  </si>
  <si>
    <t xml:space="preserve">점검자</t>
  </si>
  <si>
    <t xml:space="preserve">점검 일시</t>
  </si>
  <si>
    <r>
      <rPr>
        <sz val="9"/>
        <color rgb="FF595959"/>
        <rFont val="Noto Sans CJK SC"/>
        <family val="2"/>
      </rPr>
      <t xml:space="preserve">연한 노란 칸만 입력합니다</t>
    </r>
    <r>
      <rPr>
        <sz val="9"/>
        <color rgb="FF595959"/>
        <rFont val="맑은 고딕"/>
        <family val="0"/>
        <charset val="1"/>
      </rPr>
      <t xml:space="preserve">.  </t>
    </r>
    <r>
      <rPr>
        <sz val="9"/>
        <color rgb="FF595959"/>
        <rFont val="Noto Sans CJK SC"/>
        <family val="2"/>
      </rPr>
      <t xml:space="preserve">결과</t>
    </r>
    <r>
      <rPr>
        <sz val="9"/>
        <color rgb="FF595959"/>
        <rFont val="맑은 고딕"/>
        <family val="0"/>
        <charset val="1"/>
      </rPr>
      <t xml:space="preserve">(G</t>
    </r>
    <r>
      <rPr>
        <sz val="9"/>
        <color rgb="FF595959"/>
        <rFont val="Noto Sans CJK SC"/>
        <family val="2"/>
      </rPr>
      <t xml:space="preserve">열</t>
    </r>
    <r>
      <rPr>
        <sz val="9"/>
        <color rgb="FF595959"/>
        <rFont val="맑은 고딕"/>
        <family val="0"/>
        <charset val="1"/>
      </rPr>
      <t xml:space="preserve">)</t>
    </r>
    <r>
      <rPr>
        <sz val="9"/>
        <color rgb="FF595959"/>
        <rFont val="Noto Sans CJK SC"/>
        <family val="2"/>
      </rPr>
      <t xml:space="preserve">는 목록에서 고릅니다 — 통과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실패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미확인 </t>
    </r>
    <r>
      <rPr>
        <sz val="9"/>
        <color rgb="FF595959"/>
        <rFont val="맑은 고딕"/>
        <family val="0"/>
        <charset val="1"/>
      </rPr>
      <t xml:space="preserve">· </t>
    </r>
    <r>
      <rPr>
        <sz val="9"/>
        <color rgb="FF595959"/>
        <rFont val="Noto Sans CJK SC"/>
        <family val="2"/>
      </rPr>
      <t xml:space="preserve">해당없음</t>
    </r>
  </si>
  <si>
    <t xml:space="preserve">영역</t>
  </si>
  <si>
    <t xml:space="preserve">번호</t>
  </si>
  <si>
    <t xml:space="preserve">요구사항</t>
  </si>
  <si>
    <t xml:space="preserve">확인 항목</t>
  </si>
  <si>
    <t xml:space="preserve">확인 방법</t>
  </si>
  <si>
    <t xml:space="preserve">결과</t>
  </si>
  <si>
    <r>
      <rPr>
        <b val="true"/>
        <sz val="11"/>
        <rFont val="Noto Sans CJK SC"/>
        <family val="2"/>
      </rPr>
      <t xml:space="preserve">증빙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캡처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파일명</t>
    </r>
    <r>
      <rPr>
        <b val="true"/>
        <sz val="11"/>
        <rFont val="맑은 고딕"/>
        <family val="3"/>
        <charset val="129"/>
      </rPr>
      <t xml:space="preserve">)</t>
    </r>
  </si>
  <si>
    <r>
      <rPr>
        <b val="true"/>
        <sz val="11"/>
        <rFont val="Noto Sans CJK SC"/>
        <family val="2"/>
      </rPr>
      <t xml:space="preserve">비고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실패 </t>
    </r>
    <r>
      <rPr>
        <b val="true"/>
        <sz val="11"/>
        <rFont val="맑은 고딕"/>
        <family val="3"/>
        <charset val="129"/>
      </rPr>
      <t xml:space="preserve">· </t>
    </r>
    <r>
      <rPr>
        <b val="true"/>
        <sz val="11"/>
        <rFont val="Noto Sans CJK SC"/>
        <family val="2"/>
      </rPr>
      <t xml:space="preserve">미확인 사유</t>
    </r>
    <r>
      <rPr>
        <b val="true"/>
        <sz val="11"/>
        <rFont val="맑은 고딕"/>
        <family val="3"/>
        <charset val="129"/>
      </rPr>
      <t xml:space="preserve">)</t>
    </r>
  </si>
  <si>
    <t xml:space="preserve">데이터와 색인</t>
  </si>
  <si>
    <t xml:space="preserve">F2001</t>
  </si>
  <si>
    <r>
      <rPr>
        <sz val="10"/>
        <rFont val="Noto Sans CJK SC"/>
        <family val="2"/>
      </rPr>
      <t xml:space="preserve">로드한 항목 수와 색인된 청크 수가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텍스트에 의도한 속성이 모두 들어 있다</t>
    </r>
  </si>
  <si>
    <r>
      <rPr>
        <sz val="10"/>
        <rFont val="Noto Sans CJK SC"/>
        <family val="2"/>
      </rPr>
      <t xml:space="preserve">로드 건수와 컬렉션 건수를 출력해 비교하고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건의 색인 텍스트 확인</t>
    </r>
  </si>
  <si>
    <t xml:space="preserve">F2002</t>
  </si>
  <si>
    <t xml:space="preserve">색인 작업을 두 번 실행해도 청크 수가 늘지 않는다</t>
  </si>
  <si>
    <t xml:space="preserve">스크립트를 두 번 실행하고 전후 청크 수 비교</t>
  </si>
  <si>
    <t xml:space="preserve">문서 수집과 색인</t>
  </si>
  <si>
    <t xml:space="preserve">F2003 · F2004</t>
  </si>
  <si>
    <r>
      <rPr>
        <sz val="10"/>
        <rFont val="Noto Sans CJK SC"/>
        <family val="2"/>
      </rPr>
      <t xml:space="preserve">검색어 추출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1)</t>
    </r>
    <r>
      <rPr>
        <sz val="10"/>
        <rFont val="Noto Sans CJK SC"/>
        <family val="2"/>
      </rPr>
      <t xml:space="preserve">이 뽑은 검색어 목록이 확인되고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후보 선별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프롬프트 </t>
    </r>
    <r>
      <rPr>
        <sz val="10"/>
        <rFont val="맑은 고딕"/>
        <family val="3"/>
        <charset val="129"/>
      </rPr>
      <t xml:space="preserve">2)</t>
    </r>
    <r>
      <rPr>
        <sz val="10"/>
        <rFont val="Noto Sans CJK SC"/>
        <family val="2"/>
      </rPr>
      <t xml:space="preserve">에 따라 색인된 문서와 버려진 문서가 구분된다</t>
    </r>
  </si>
  <si>
    <r>
      <rPr>
        <sz val="10"/>
        <rFont val="Noto Sans CJK SC"/>
        <family val="2"/>
      </rPr>
      <t xml:space="preserve">질문 </t>
    </r>
    <r>
      <rPr>
        <sz val="10"/>
        <rFont val="맑은 고딕"/>
        <family val="3"/>
        <charset val="129"/>
      </rPr>
      <t xml:space="preserve">1</t>
    </r>
    <r>
      <rPr>
        <sz val="10"/>
        <rFont val="Noto Sans CJK SC"/>
        <family val="2"/>
      </rPr>
      <t xml:space="preserve">개를 실행하고 검색어 목록과 선별 결과를 나란히 출력</t>
    </r>
  </si>
  <si>
    <t xml:space="preserve">F2004 · NF2002</t>
  </si>
  <si>
    <t xml:space="preserve">같은 질문을 다시 물었을 때 수집이 다시 일어나지 않는다</t>
  </si>
  <si>
    <t xml:space="preserve">같은 질문을 두 번 실행해 수집 로그와 처리 시간 비교</t>
  </si>
  <si>
    <t xml:space="preserve">F2005</t>
  </si>
  <si>
    <t xml:space="preserve">청크 크기 또는 중복 길이를 설정에서 바꿔 색인하면 청크 수가 달라진다</t>
  </si>
  <si>
    <t xml:space="preserve">설정값을 바꿔 재색인하고 청크 수 비교</t>
  </si>
  <si>
    <t xml:space="preserve">답변과 근거</t>
  </si>
  <si>
    <t xml:space="preserve">F2006</t>
  </si>
  <si>
    <r>
      <rPr>
        <sz val="10"/>
        <rFont val="Noto Sans CJK SC"/>
        <family val="2"/>
      </rPr>
      <t xml:space="preserve">검색할 근거 수</t>
    </r>
    <r>
      <rPr>
        <sz val="10"/>
        <rFont val="맑은 고딕"/>
        <family val="3"/>
        <charset val="129"/>
      </rPr>
      <t xml:space="preserve">(Top-k)</t>
    </r>
    <r>
      <rPr>
        <sz val="10"/>
        <rFont val="Noto Sans CJK SC"/>
        <family val="2"/>
      </rPr>
      <t xml:space="preserve">를 설정에서 바꾸면 같은 질문의 근거 목록이 달라진다</t>
    </r>
  </si>
  <si>
    <r>
      <rPr>
        <sz val="10"/>
        <rFont val="맑은 고딕"/>
        <family val="3"/>
        <charset val="129"/>
      </rPr>
      <t xml:space="preserve">Top-k </t>
    </r>
    <r>
      <rPr>
        <sz val="10"/>
        <rFont val="Noto Sans CJK SC"/>
        <family val="2"/>
      </rPr>
      <t xml:space="preserve">값을 바꿔 같은 질문을 실행하고 근거 목록 비교</t>
    </r>
  </si>
  <si>
    <t xml:space="preserve">F2007</t>
  </si>
  <si>
    <r>
      <rPr>
        <sz val="10"/>
        <rFont val="맑은 고딕"/>
        <family val="3"/>
        <charset val="129"/>
      </rPr>
      <t xml:space="preserve">LangGraph</t>
    </r>
    <r>
      <rPr>
        <sz val="10"/>
        <rFont val="Noto Sans CJK SC"/>
        <family val="2"/>
      </rPr>
      <t xml:space="preserve">가 </t>
    </r>
    <r>
      <rPr>
        <sz val="10"/>
        <rFont val="맑은 고딕"/>
        <family val="3"/>
        <charset val="129"/>
      </rPr>
      <t xml:space="preserve">retrieve</t>
    </r>
    <r>
      <rPr>
        <sz val="10"/>
        <rFont val="Noto Sans CJK SC"/>
        <family val="2"/>
      </rPr>
      <t xml:space="preserve">와 </t>
    </r>
    <r>
      <rPr>
        <sz val="10"/>
        <rFont val="맑은 고딕"/>
        <family val="3"/>
        <charset val="129"/>
      </rPr>
      <t xml:space="preserve">generate </t>
    </r>
    <r>
      <rPr>
        <sz val="10"/>
        <rFont val="Noto Sans CJK SC"/>
        <family val="2"/>
      </rPr>
      <t xml:space="preserve">두 노드로 구성되어 있다</t>
    </r>
  </si>
  <si>
    <t xml:space="preserve">그래프 구조 출력 또는 코드 캡처</t>
  </si>
  <si>
    <t xml:space="preserve">F2008</t>
  </si>
  <si>
    <r>
      <rPr>
        <sz val="10"/>
        <rFont val="Noto Sans CJK SC"/>
        <family val="2"/>
      </rPr>
      <t xml:space="preserve">답변 본문의 근거 번호와 화면의 근거 목록이 일치하고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항목 메타데이터와 외부 문서가 구분되어 표시된다</t>
    </r>
  </si>
  <si>
    <t xml:space="preserve">답변을 생성해 번호와 목록을 대조</t>
  </si>
  <si>
    <t xml:space="preserve">F2007 · F2008</t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</si>
  <si>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</si>
  <si>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t xml:space="preserve">색인에 없는 내용을 질문해 답변과 안내 확인</t>
  </si>
  <si>
    <t xml:space="preserve">서비스 기능과 화면</t>
  </si>
  <si>
    <t xml:space="preserve">F2009</t>
  </si>
  <si>
    <t xml:space="preserve">항목을 바꿨을 때 이전 대화가 섞이지 않는다</t>
  </si>
  <si>
    <r>
      <rPr>
        <sz val="10"/>
        <rFont val="Noto Sans CJK SC"/>
        <family val="2"/>
      </rPr>
      <t xml:space="preserve">항목 </t>
    </r>
    <r>
      <rPr>
        <sz val="10"/>
        <rFont val="맑은 고딕"/>
        <family val="3"/>
        <charset val="129"/>
      </rPr>
      <t xml:space="preserve">A</t>
    </r>
    <r>
      <rPr>
        <sz val="10"/>
        <rFont val="Noto Sans CJK SC"/>
        <family val="2"/>
      </rPr>
      <t xml:space="preserve">에서 대화 후 항목 </t>
    </r>
    <r>
      <rPr>
        <sz val="10"/>
        <rFont val="맑은 고딕"/>
        <family val="3"/>
        <charset val="129"/>
      </rPr>
      <t xml:space="preserve">B</t>
    </r>
    <r>
      <rPr>
        <sz val="10"/>
        <rFont val="Noto Sans CJK SC"/>
        <family val="2"/>
      </rPr>
      <t xml:space="preserve">로 바꿔 질문</t>
    </r>
  </si>
  <si>
    <t xml:space="preserve">F2011</t>
  </si>
  <si>
    <t xml:space="preserve">조건 기반 탐색 결과에 조건과 맞지 않는 항목이 섞이지 않는다</t>
  </si>
  <si>
    <t xml:space="preserve">조건을 입력해 결과 항목을 하나씩 대조</t>
  </si>
  <si>
    <t xml:space="preserve">F2010</t>
  </si>
  <si>
    <t xml:space="preserve">도메인 특화 기능의 결과에도 근거가 함께 제시된다</t>
  </si>
  <si>
    <t xml:space="preserve">특화 기능을 실행해 근거 표시 확인</t>
  </si>
  <si>
    <t xml:space="preserve">F2012</t>
  </si>
  <si>
    <r>
      <rPr>
        <sz val="10"/>
        <rFont val="Noto Sans CJK SC"/>
        <family val="2"/>
      </rPr>
      <t xml:space="preserve">처리 중 진행 상태가 표시되고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색인이 없을 때와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없을 때 각각 안내가 표시된다</t>
    </r>
  </si>
  <si>
    <r>
      <rPr>
        <sz val="10"/>
        <rFont val="Noto Sans CJK SC"/>
        <family val="2"/>
      </rPr>
      <t xml:space="preserve">첫 질문 실행 중 화면 확인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색인 삭제 후 실행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키를 비우고 실행</t>
    </r>
  </si>
  <si>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해당 도메인만</t>
    </r>
    <r>
      <rPr>
        <sz val="10"/>
        <rFont val="맑은 고딕"/>
        <family val="3"/>
        <charset val="129"/>
      </rPr>
      <t xml:space="preserve">) </t>
    </r>
    <r>
      <rPr>
        <sz val="10"/>
        <rFont val="Noto Sans CJK SC"/>
        <family val="2"/>
      </rPr>
      <t xml:space="preserve">건강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금융처럼 판단이 위험한 도메인이면 전문가 조언을 대신하지 않는다는 안내가 표시된다</t>
    </r>
  </si>
  <si>
    <t xml:space="preserve">답변 화면에서 면책 안내 확인</t>
  </si>
  <si>
    <r>
      <rPr>
        <b val="true"/>
        <sz val="11"/>
        <rFont val="Noto Sans CJK SC"/>
        <family val="2"/>
      </rPr>
      <t xml:space="preserve">심화 기능 </t>
    </r>
    <r>
      <rPr>
        <b val="true"/>
        <sz val="11"/>
        <rFont val="맑은 고딕"/>
        <family val="3"/>
        <charset val="129"/>
      </rPr>
      <t xml:space="preserve">(</t>
    </r>
    <r>
      <rPr>
        <b val="true"/>
        <sz val="11"/>
        <rFont val="Noto Sans CJK SC"/>
        <family val="2"/>
      </rPr>
      <t xml:space="preserve">선택한 것만</t>
    </r>
    <r>
      <rPr>
        <b val="true"/>
        <sz val="11"/>
        <rFont val="맑은 고딕"/>
        <family val="3"/>
        <charset val="129"/>
      </rPr>
      <t xml:space="preserve">)</t>
    </r>
  </si>
  <si>
    <t xml:space="preserve">F2013</t>
  </si>
  <si>
    <r>
      <rPr>
        <sz val="10"/>
        <rFont val="Noto Sans CJK SC"/>
        <family val="2"/>
      </rPr>
      <t xml:space="preserve">화면이 </t>
    </r>
    <r>
      <rPr>
        <sz val="10"/>
        <rFont val="맑은 고딕"/>
        <family val="3"/>
        <charset val="129"/>
      </rPr>
      <t xml:space="preserve">HTML · CSS · JavaScript</t>
    </r>
    <r>
      <rPr>
        <sz val="10"/>
        <rFont val="Noto Sans CJK SC"/>
        <family val="2"/>
      </rPr>
      <t xml:space="preserve">로 동작하고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근거가 모두 표시된다</t>
    </r>
  </si>
  <si>
    <r>
      <rPr>
        <sz val="10"/>
        <rFont val="Noto Sans CJK SC"/>
        <family val="2"/>
      </rPr>
      <t xml:space="preserve">화면 실행 후 질문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답변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표시 확인</t>
    </r>
  </si>
  <si>
    <t xml:space="preserve">F2014</t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</si>
  <si>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3"/>
        <charset val="129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</si>
  <si>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t xml:space="preserve">두 검색 방식의 근거 목록을 나란히 비교</t>
  </si>
  <si>
    <t xml:space="preserve">F2015</t>
  </si>
  <si>
    <r>
      <rPr>
        <sz val="10"/>
        <rFont val="Noto Sans CJK SC"/>
        <family val="2"/>
      </rPr>
      <t xml:space="preserve">대표 질문 </t>
    </r>
    <r>
      <rPr>
        <sz val="10"/>
        <rFont val="맑은 고딕"/>
        <family val="3"/>
        <charset val="129"/>
      </rPr>
      <t xml:space="preserve">5</t>
    </r>
    <r>
      <rPr>
        <sz val="10"/>
        <rFont val="Noto Sans CJK SC"/>
        <family val="2"/>
      </rPr>
      <t xml:space="preserve">개 이상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근거 없이 답하면 틀리기 쉬운 질문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을 </t>
    </r>
    <r>
      <rPr>
        <sz val="10"/>
        <rFont val="맑은 고딕"/>
        <family val="3"/>
        <charset val="129"/>
      </rPr>
      <t xml:space="preserve">RAG </t>
    </r>
    <r>
      <rPr>
        <sz val="10"/>
        <rFont val="Noto Sans CJK SC"/>
        <family val="2"/>
      </rPr>
      <t xml:space="preserve">없이 </t>
    </r>
    <r>
      <rPr>
        <sz val="10"/>
        <rFont val="맑은 고딕"/>
        <family val="3"/>
        <charset val="129"/>
      </rPr>
      <t xml:space="preserve">/ </t>
    </r>
    <r>
      <rPr>
        <sz val="10"/>
        <rFont val="Noto Sans CJK SC"/>
        <family val="2"/>
      </rPr>
      <t xml:space="preserve">근거를 붙여 각각 답하게 해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사실 정확성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근거 제시 여부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모르는 것을 모른다고 답하는지를 비교해 기록했다</t>
    </r>
  </si>
  <si>
    <t xml:space="preserve">비교 기록 확인</t>
  </si>
  <si>
    <t xml:space="preserve">비교 결과를 문서로 작성해 제출물에 포함했다</t>
  </si>
  <si>
    <t xml:space="preserve">제출물 폴더 확인</t>
  </si>
  <si>
    <t xml:space="preserve">F2016</t>
  </si>
  <si>
    <t xml:space="preserve">근거 목록에 출처의 종류가 구분되어 표시된다</t>
  </si>
  <si>
    <t xml:space="preserve">근거 목록 화면 확인</t>
  </si>
  <si>
    <t xml:space="preserve">비기능 요구사항</t>
  </si>
  <si>
    <t xml:space="preserve">NF2001</t>
  </si>
  <si>
    <t xml:space="preserve">대표 질문의 전체 처리 시간이 사용에 지장이 없다</t>
  </si>
  <si>
    <t xml:space="preserve">첫 질문과 두 번째 질문의 처리 시간을 나눠 측정</t>
  </si>
  <si>
    <t xml:space="preserve">NF2003 · NF2004</t>
  </si>
  <si>
    <r>
      <rPr>
        <sz val="10"/>
        <rFont val="Noto Sans CJK SC"/>
        <family val="2"/>
      </rPr>
      <t xml:space="preserve">소스코드와 제출물에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키가 남아 있지 않고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화면에 </t>
    </r>
    <r>
      <rPr>
        <sz val="10"/>
        <rFont val="맑은 고딕"/>
        <family val="3"/>
        <charset val="129"/>
      </rPr>
      <t xml:space="preserve">API </t>
    </r>
    <r>
      <rPr>
        <sz val="10"/>
        <rFont val="Noto Sans CJK SC"/>
        <family val="2"/>
      </rPr>
      <t xml:space="preserve">키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프롬프트 전문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오류 추적 정보가 노출되지 않는다</t>
    </r>
  </si>
  <si>
    <r>
      <rPr>
        <sz val="10"/>
        <rFont val="Noto Sans CJK SC"/>
        <family val="2"/>
      </rPr>
      <t xml:space="preserve">저장소 전체에서 키 문자열 검색</t>
    </r>
    <r>
      <rPr>
        <sz val="10"/>
        <rFont val="맑은 고딕"/>
        <family val="3"/>
        <charset val="129"/>
      </rPr>
      <t xml:space="preserve">(.env </t>
    </r>
    <r>
      <rPr>
        <sz val="10"/>
        <rFont val="Noto Sans CJK SC"/>
        <family val="2"/>
      </rPr>
      <t xml:space="preserve">제외 여부 확인</t>
    </r>
    <r>
      <rPr>
        <sz val="10"/>
        <rFont val="맑은 고딕"/>
        <family val="3"/>
        <charset val="129"/>
      </rPr>
      <t xml:space="preserve">), </t>
    </r>
    <r>
      <rPr>
        <sz val="10"/>
        <rFont val="Noto Sans CJK SC"/>
        <family val="2"/>
      </rPr>
      <t xml:space="preserve">오류 상황을 일부러 만들어 화면 확인</t>
    </r>
  </si>
  <si>
    <t xml:space="preserve">NF2005</t>
  </si>
  <si>
    <r>
      <rPr>
        <sz val="10"/>
        <rFont val="Noto Sans CJK SC"/>
        <family val="2"/>
      </rPr>
      <t xml:space="preserve">수집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색인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검색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생성 </t>
    </r>
    <r>
      <rPr>
        <sz val="10"/>
        <rFont val="맑은 고딕"/>
        <family val="3"/>
        <charset val="129"/>
      </rPr>
      <t xml:space="preserve">· UI</t>
    </r>
    <r>
      <rPr>
        <sz val="10"/>
        <rFont val="Noto Sans CJK SC"/>
        <family val="2"/>
      </rPr>
      <t xml:space="preserve">가 모듈로 분리되어 있다</t>
    </r>
  </si>
  <si>
    <t xml:space="preserve">파일 구성 확인</t>
  </si>
  <si>
    <t xml:space="preserve">NF2006</t>
  </si>
  <si>
    <r>
      <rPr>
        <sz val="10"/>
        <rFont val="Noto Sans CJK SC"/>
        <family val="2"/>
      </rPr>
      <t xml:space="preserve">외부 호출의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호출 간격과 출처가 요구하는 식별 정보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예</t>
    </r>
    <r>
      <rPr>
        <sz val="10"/>
        <rFont val="맑은 고딕"/>
        <family val="3"/>
        <charset val="129"/>
      </rPr>
      <t xml:space="preserve">: </t>
    </r>
    <r>
      <rPr>
        <sz val="10"/>
        <rFont val="Noto Sans CJK SC"/>
        <family val="2"/>
      </rPr>
      <t xml:space="preserve">위키백과 </t>
    </r>
    <r>
      <rPr>
        <sz val="10"/>
        <rFont val="맑은 고딕"/>
        <family val="3"/>
        <charset val="129"/>
      </rPr>
      <t xml:space="preserve">User-Agent </t>
    </r>
    <r>
      <rPr>
        <sz val="10"/>
        <rFont val="Noto Sans CJK SC"/>
        <family val="2"/>
      </rPr>
      <t xml:space="preserve">연락처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지켰다</t>
    </r>
  </si>
  <si>
    <r>
      <rPr>
        <sz val="10"/>
        <rFont val="Noto Sans CJK SC"/>
        <family val="2"/>
      </rPr>
      <t xml:space="preserve">호출 코드의 재시도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간격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헤더 확인</t>
    </r>
  </si>
  <si>
    <t xml:space="preserve">NF2007</t>
  </si>
  <si>
    <r>
      <rPr>
        <sz val="10"/>
        <rFont val="Noto Sans CJK SC"/>
        <family val="2"/>
      </rPr>
      <t xml:space="preserve">사용한 데이터와 문서의 출처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이용 조건을 기록했다</t>
    </r>
  </si>
  <si>
    <r>
      <rPr>
        <sz val="10"/>
        <rFont val="맑은 고딕"/>
        <family val="3"/>
        <charset val="129"/>
      </rPr>
      <t xml:space="preserve">README </t>
    </r>
    <r>
      <rPr>
        <sz val="10"/>
        <rFont val="Noto Sans CJK SC"/>
        <family val="2"/>
      </rPr>
      <t xml:space="preserve">확인</t>
    </r>
  </si>
  <si>
    <t xml:space="preserve">제출 전 점검</t>
  </si>
  <si>
    <t xml:space="preserve">필수</t>
  </si>
  <si>
    <r>
      <rPr>
        <sz val="10"/>
        <rFont val="Noto Sans CJK SC"/>
        <family val="2"/>
      </rPr>
      <t xml:space="preserve">필수 기능 </t>
    </r>
    <r>
      <rPr>
        <sz val="10"/>
        <rFont val="맑은 고딕"/>
        <family val="3"/>
        <charset val="129"/>
      </rPr>
      <t xml:space="preserve">F2001 ~ F2012</t>
    </r>
    <r>
      <rPr>
        <sz val="10"/>
        <rFont val="Noto Sans CJK SC"/>
        <family val="2"/>
      </rPr>
      <t xml:space="preserve">가 모두 동작하고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선택한 심화 기능은 필수 기능의 결과와 비교되어 있다</t>
    </r>
  </si>
  <si>
    <r>
      <rPr>
        <sz val="10"/>
        <rFont val="Noto Sans CJK SC"/>
        <family val="2"/>
      </rPr>
      <t xml:space="preserve">위 항목의 결과 종합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비교 기록 확인</t>
    </r>
  </si>
  <si>
    <t xml:space="preserve">증명을 위한 스크린샷 항목을 모두 첨부했다</t>
  </si>
  <si>
    <t xml:space="preserve">증빙 칸과 첨부 파일 대조</t>
  </si>
  <si>
    <r>
      <rPr>
        <sz val="10"/>
        <rFont val="Noto Sans CJK SC"/>
        <family val="2"/>
      </rPr>
      <t xml:space="preserve">요구사항 정의서 </t>
    </r>
    <r>
      <rPr>
        <sz val="10"/>
        <rFont val="맑은 고딕"/>
        <family val="3"/>
        <charset val="129"/>
      </rPr>
      <t xml:space="preserve">· RAG </t>
    </r>
    <r>
      <rPr>
        <sz val="10"/>
        <rFont val="Noto Sans CJK SC"/>
        <family val="2"/>
      </rPr>
      <t xml:space="preserve">파이프라인 설계문서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소스코드 </t>
    </r>
    <r>
      <rPr>
        <sz val="10"/>
        <rFont val="맑은 고딕"/>
        <family val="3"/>
        <charset val="129"/>
      </rPr>
      <t xml:space="preserve">· README.md · </t>
    </r>
    <r>
      <rPr>
        <sz val="10"/>
        <rFont val="Noto Sans CJK SC"/>
        <family val="2"/>
      </rPr>
      <t xml:space="preserve">검증 결과</t>
    </r>
    <r>
      <rPr>
        <sz val="10"/>
        <rFont val="맑은 고딕"/>
        <family val="3"/>
        <charset val="129"/>
      </rPr>
      <t xml:space="preserve">(</t>
    </r>
    <r>
      <rPr>
        <sz val="10"/>
        <rFont val="Noto Sans CJK SC"/>
        <family val="2"/>
      </rPr>
      <t xml:space="preserve">요구사항 대조표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테스트 결과표</t>
    </r>
    <r>
      <rPr>
        <sz val="10"/>
        <rFont val="맑은 고딕"/>
        <family val="3"/>
        <charset val="129"/>
      </rPr>
      <t xml:space="preserve">, </t>
    </r>
    <r>
      <rPr>
        <sz val="10"/>
        <rFont val="Noto Sans CJK SC"/>
        <family val="2"/>
      </rPr>
      <t xml:space="preserve">셀프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상호 체크리스트</t>
    </r>
    <r>
      <rPr>
        <sz val="10"/>
        <rFont val="맑은 고딕"/>
        <family val="3"/>
        <charset val="129"/>
      </rPr>
      <t xml:space="preserve">)</t>
    </r>
    <r>
      <rPr>
        <sz val="10"/>
        <rFont val="Noto Sans CJK SC"/>
        <family val="2"/>
      </rPr>
      <t xml:space="preserve">를 모두 포함했다</t>
    </r>
  </si>
  <si>
    <t xml:space="preserve">집계</t>
  </si>
  <si>
    <t xml:space="preserve">통과</t>
  </si>
  <si>
    <r>
      <rPr>
        <sz val="10"/>
        <rFont val="Noto Sans CJK SC"/>
        <family val="2"/>
      </rPr>
      <t xml:space="preserve">제출 전에 「실패」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「미확인」 </t>
    </r>
    <r>
      <rPr>
        <sz val="10"/>
        <rFont val="맑은 고딕"/>
        <family val="3"/>
        <charset val="129"/>
      </rPr>
      <t xml:space="preserve">· </t>
    </r>
    <r>
      <rPr>
        <sz val="10"/>
        <rFont val="Noto Sans CJK SC"/>
        <family val="2"/>
      </rPr>
      <t xml:space="preserve">「미기입」이 남아 있으면 비고에 사유가 적혀 있는지 확인합니다</t>
    </r>
    <r>
      <rPr>
        <sz val="10"/>
        <rFont val="맑은 고딕"/>
        <family val="3"/>
        <charset val="129"/>
      </rPr>
      <t xml:space="preserve">.</t>
    </r>
  </si>
  <si>
    <t xml:space="preserve">실패</t>
  </si>
  <si>
    <t xml:space="preserve">미확인</t>
  </si>
  <si>
    <t xml:space="preserve">해당없음</t>
  </si>
  <si>
    <t xml:space="preserve">미기입</t>
  </si>
  <si>
    <t xml:space="preserve">전체 항목</t>
  </si>
  <si>
    <r>
      <rPr>
        <b val="true"/>
        <sz val="11"/>
        <rFont val="Noto Sans CJK SC"/>
        <family val="2"/>
      </rPr>
      <t xml:space="preserve">상호 점검 피드백 — 상호 점검 때만 작성 </t>
    </r>
    <r>
      <rPr>
        <b val="true"/>
        <sz val="11"/>
        <rFont val="맑은 고딕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짧게 한두 문장</t>
    </r>
    <r>
      <rPr>
        <b val="true"/>
        <sz val="11"/>
        <rFont val="맑은 고딕"/>
        <family val="0"/>
        <charset val="1"/>
      </rPr>
      <t xml:space="preserve">)</t>
    </r>
  </si>
  <si>
    <t xml:space="preserve">잘한 것 하나</t>
  </si>
  <si>
    <t xml:space="preserve">개선할 것 하나</t>
  </si>
  <si>
    <r>
      <rPr>
        <b val="true"/>
        <sz val="14"/>
        <color rgb="FF000000"/>
        <rFont val="Noto Sans CJK SC"/>
        <family val="2"/>
      </rPr>
      <t xml:space="preserve">셀프 </t>
    </r>
    <r>
      <rPr>
        <b val="true"/>
        <sz val="14"/>
        <color rgb="FF000000"/>
        <rFont val="맑은 고딕"/>
        <family val="0"/>
        <charset val="1"/>
      </rPr>
      <t xml:space="preserve">· </t>
    </r>
    <r>
      <rPr>
        <b val="true"/>
        <sz val="14"/>
        <color rgb="FF000000"/>
        <rFont val="Noto Sans CJK SC"/>
        <family val="2"/>
      </rPr>
      <t xml:space="preserve">상호 체크리스트 작성 안내</t>
    </r>
  </si>
  <si>
    <t xml:space="preserve">언제</t>
  </si>
  <si>
    <r>
      <rPr>
        <sz val="10"/>
        <color rgb="FF000000"/>
        <rFont val="Noto Sans CJK SC"/>
        <family val="2"/>
      </rPr>
      <t xml:space="preserve">셀프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15:30 ~ 16:30 · </t>
    </r>
    <r>
      <rPr>
        <sz val="10"/>
        <color rgb="FF000000"/>
        <rFont val="Noto Sans CJK SC"/>
        <family val="2"/>
      </rPr>
      <t xml:space="preserve">내 앱을 직접 실행하며 항목을 하나씩 확인합니다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상호 — </t>
    </r>
    <r>
      <rPr>
        <sz val="10"/>
        <color rgb="FF000000"/>
        <rFont val="맑은 고딕"/>
        <family val="0"/>
        <charset val="1"/>
      </rPr>
      <t xml:space="preserve">3</t>
    </r>
    <r>
      <rPr>
        <sz val="10"/>
        <color rgb="FF000000"/>
        <rFont val="Noto Sans CJK SC"/>
        <family val="2"/>
      </rPr>
      <t xml:space="preserve">일차 </t>
    </r>
    <r>
      <rPr>
        <sz val="10"/>
        <color rgb="FF000000"/>
        <rFont val="맑은 고딕"/>
        <family val="0"/>
        <charset val="1"/>
      </rPr>
      <t xml:space="preserve">16:30 ~ 17:30 · </t>
    </r>
    <r>
      <rPr>
        <sz val="10"/>
        <color rgb="FF000000"/>
        <rFont val="Noto Sans CJK SC"/>
        <family val="2"/>
      </rPr>
      <t xml:space="preserve">셀프 때와 같은 양식으로 옆 교육생의 앱을 점검하고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점검자 칸에 이름을 적어 주고받습니다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</si>
  <si>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무엇을 적나</t>
  </si>
  <si>
    <r>
      <rPr>
        <sz val="10"/>
        <color rgb="FF000000"/>
        <rFont val="Noto Sans CJK SC"/>
        <family val="2"/>
      </rPr>
      <t xml:space="preserve">점검 유형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셀프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상호</t>
    </r>
    <r>
      <rPr>
        <sz val="10"/>
        <color rgb="FF000000"/>
        <rFont val="맑은 고딕"/>
        <family val="0"/>
        <charset val="1"/>
      </rPr>
      <t xml:space="preserve">) · </t>
    </r>
    <r>
      <rPr>
        <sz val="10"/>
        <color rgb="FF000000"/>
        <rFont val="Noto Sans CJK SC"/>
        <family val="2"/>
      </rPr>
      <t xml:space="preserve">앱 작성자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점검자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점검 일시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그리고 항목마다 결과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증빙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비고를 적습니다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연한 노란 칸만 입력합니다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확인 항목과 확인 방법은 고치지 않습니다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</si>
  <si>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통과 — 직접 실행해 기대한 결과를 확인함 </t>
    </r>
    <r>
      <rPr>
        <sz val="10"/>
        <color rgb="FF000000"/>
        <rFont val="맑은 고딕"/>
        <family val="0"/>
        <charset val="1"/>
      </rPr>
      <t xml:space="preserve">(</t>
    </r>
    <r>
      <rPr>
        <sz val="10"/>
        <color rgb="FF000000"/>
        <rFont val="Noto Sans CJK SC"/>
        <family val="2"/>
      </rPr>
      <t xml:space="preserve">증명이 필요한 항목은 증빙 첨부</t>
    </r>
    <r>
      <rPr>
        <sz val="10"/>
        <color rgb="FF000000"/>
        <rFont val="맑은 고딕"/>
        <family val="0"/>
        <charset val="1"/>
      </rPr>
      <t xml:space="preserve">)
</t>
    </r>
    <r>
      <rPr>
        <sz val="10"/>
        <color rgb="FF000000"/>
        <rFont val="Noto Sans CJK SC"/>
        <family val="2"/>
      </rPr>
      <t xml:space="preserve">실패 — 실행했으나 기대와 다름 → 비고에 사유와 조치
미확인 — 실행하지 못함 → 비고에 사유
해당없음 — 선택하지 않은 심화 항목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해당하지 않는 도메인 항목</t>
    </r>
  </si>
  <si>
    <t xml:space="preserve">증빙</t>
  </si>
  <si>
    <r>
      <rPr>
        <sz val="10"/>
        <color rgb="FF000000"/>
        <rFont val="Noto Sans CJK SC"/>
        <family val="2"/>
      </rPr>
      <t xml:space="preserve">화면 캡처의 파일명을 적고 제출물에 함께 넣습니다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번호를 앞에 붙이면 찾기 쉽습니다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예</t>
    </r>
    <r>
      <rPr>
        <sz val="10"/>
        <color rgb="FF000000"/>
        <rFont val="맑은 고딕"/>
        <family val="0"/>
        <charset val="1"/>
      </rPr>
      <t xml:space="preserve">) 04_</t>
    </r>
    <r>
      <rPr>
        <sz val="10"/>
        <color rgb="FF000000"/>
        <rFont val="Noto Sans CJK SC"/>
        <family val="2"/>
      </rPr>
      <t xml:space="preserve">재질문</t>
    </r>
    <r>
      <rPr>
        <sz val="10"/>
        <color rgb="FF000000"/>
        <rFont val="맑은 고딕"/>
        <family val="0"/>
        <charset val="1"/>
      </rPr>
      <t xml:space="preserve">_</t>
    </r>
    <r>
      <rPr>
        <sz val="10"/>
        <color rgb="FF000000"/>
        <rFont val="Noto Sans CJK SC"/>
        <family val="2"/>
      </rPr>
      <t xml:space="preserve">수집로그</t>
    </r>
    <r>
      <rPr>
        <sz val="10"/>
        <color rgb="FF000000"/>
        <rFont val="맑은 고딕"/>
        <family val="0"/>
        <charset val="1"/>
      </rPr>
      <t xml:space="preserve">.png
</t>
    </r>
    <r>
      <rPr>
        <sz val="10"/>
        <color rgb="FF000000"/>
        <rFont val="Noto Sans CJK SC"/>
        <family val="2"/>
      </rPr>
      <t xml:space="preserve">캡처에 </t>
    </r>
    <r>
      <rPr>
        <sz val="10"/>
        <color rgb="FF000000"/>
        <rFont val="맑은 고딕"/>
        <family val="0"/>
        <charset val="1"/>
      </rPr>
      <t xml:space="preserve">API </t>
    </r>
    <r>
      <rPr>
        <sz val="10"/>
        <color rgb="FF000000"/>
        <rFont val="Noto Sans CJK SC"/>
        <family val="2"/>
      </rPr>
      <t xml:space="preserve">키와 오류 상세 내용이 보이지 않게 합니다</t>
    </r>
    <r>
      <rPr>
        <sz val="10"/>
        <color rgb="FF000000"/>
        <rFont val="맑은 고딕"/>
        <family val="0"/>
        <charset val="1"/>
      </rPr>
      <t xml:space="preserve">.</t>
    </r>
  </si>
  <si>
    <r>
      <rPr>
        <sz val="10"/>
        <color rgb="FF000000"/>
        <rFont val="Noto Sans CJK SC"/>
        <family val="2"/>
      </rPr>
      <t xml:space="preserve">체크리스트 아래 집계 칸이 결과를 자동으로 셉니다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제출 전에 「실패」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「미확인」 </t>
    </r>
    <r>
      <rPr>
        <sz val="10"/>
        <color rgb="FF000000"/>
        <rFont val="맑은 고딕"/>
        <family val="0"/>
        <charset val="1"/>
      </rPr>
      <t xml:space="preserve">· </t>
    </r>
    <r>
      <rPr>
        <sz val="10"/>
        <color rgb="FF000000"/>
        <rFont val="Noto Sans CJK SC"/>
        <family val="2"/>
      </rPr>
      <t xml:space="preserve">「미기입」이 남아 있으면 비고에 사유가 적혀 있는지 확인합니다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</si>
  <si>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상호 피드백</t>
  </si>
  <si>
    <r>
      <rPr>
        <sz val="10"/>
        <color rgb="FF000000"/>
        <rFont val="Noto Sans CJK SC"/>
        <family val="2"/>
      </rPr>
      <t xml:space="preserve">상호 점검 때는 맨 아래에 잘한 것 하나</t>
    </r>
    <r>
      <rPr>
        <sz val="10"/>
        <color rgb="FF000000"/>
        <rFont val="맑은 고딕"/>
        <family val="0"/>
        <charset val="1"/>
      </rPr>
      <t xml:space="preserve">, </t>
    </r>
    <r>
      <rPr>
        <sz val="10"/>
        <color rgb="FF000000"/>
        <rFont val="Noto Sans CJK SC"/>
        <family val="2"/>
      </rPr>
      <t xml:space="preserve">개선할 것 하나를 짧게 적어 돌려줍니다</t>
    </r>
    <r>
      <rPr>
        <sz val="10"/>
        <color rgb="FF000000"/>
        <rFont val="맑은 고딕"/>
        <family val="0"/>
        <charset val="1"/>
      </rPr>
      <t xml:space="preserve">.
</t>
    </r>
    <r>
      <rPr>
        <sz val="10"/>
        <color rgb="FF000000"/>
        <rFont val="Noto Sans CJK SC"/>
        <family val="2"/>
      </rPr>
      <t xml:space="preserve">지적받은 결함 중 고칠 수 있는 것만 고치고 최종 제출합니다</t>
    </r>
    <r>
      <rPr>
        <sz val="10"/>
        <color rgb="FF000000"/>
        <rFont val="맑은 고딕"/>
        <family val="0"/>
        <charset val="1"/>
      </rPr>
      <t xml:space="preserve">. </t>
    </r>
    <r>
      <rPr>
        <sz val="10"/>
        <color rgb="FF000000"/>
        <rFont val="Noto Sans CJK SC"/>
        <family val="2"/>
      </rPr>
      <t xml:space="preserve">새 기능은 넣지 않습니다</t>
    </r>
    <r>
      <rPr>
        <sz val="10"/>
        <color rgb="FF000000"/>
        <rFont val="맑은 고딕"/>
        <family val="0"/>
        <charset val="1"/>
      </rPr>
      <t xml:space="preserve">.</t>
    </r>
  </si>
  <si>
    <t xml:space="preserve">가장 중요한 규칙</t>
  </si>
  <si>
    <r>
      <rPr>
        <b val="true"/>
        <sz val="10"/>
        <color rgb="FFC00000"/>
        <rFont val="Noto Sans CJK SC"/>
        <family val="2"/>
      </rPr>
      <t xml:space="preserve">확인하지 않은 것을 통과로 적지 않습니다</t>
    </r>
    <r>
      <rPr>
        <b val="true"/>
        <sz val="10"/>
        <color rgb="FFC00000"/>
        <rFont val="맑은 고딕"/>
        <family val="0"/>
        <charset val="1"/>
      </rPr>
      <t xml:space="preserve">.</t>
    </r>
  </si>
  <si>
    <r>
      <rPr>
        <b val="true"/>
        <sz val="10"/>
        <color rgb="FF000000"/>
        <rFont val="Noto Sans CJK SC"/>
        <family val="2"/>
      </rPr>
      <t xml:space="preserve">작성 예시 — 모양만 보여 주는 예입니다</t>
    </r>
    <r>
      <rPr>
        <b val="true"/>
        <sz val="10"/>
        <color rgb="FF000000"/>
        <rFont val="맑은 고딕"/>
        <family val="0"/>
        <charset val="1"/>
      </rPr>
      <t xml:space="preserve">. </t>
    </r>
    <r>
      <rPr>
        <b val="true"/>
        <sz val="10"/>
        <color rgb="FF000000"/>
        <rFont val="Noto Sans CJK SC"/>
        <family val="2"/>
      </rPr>
      <t xml:space="preserve">실제 체크리스트에는 이 줄을 옮기지 않습니다</t>
    </r>
    <r>
      <rPr>
        <b val="true"/>
        <sz val="10"/>
        <color rgb="FF000000"/>
        <rFont val="맑은 고딕"/>
        <family val="0"/>
        <charset val="1"/>
      </rPr>
      <t xml:space="preserve">.</t>
    </r>
  </si>
  <si>
    <r>
      <rPr>
        <b val="true"/>
        <sz val="10"/>
        <rFont val="Noto Sans CJK SC"/>
        <family val="2"/>
      </rPr>
      <t xml:space="preserve">증빙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캡처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파일명</t>
    </r>
    <r>
      <rPr>
        <b val="true"/>
        <sz val="10"/>
        <rFont val="맑은 고딕"/>
        <family val="0"/>
        <charset val="1"/>
      </rPr>
      <t xml:space="preserve">)</t>
    </r>
  </si>
  <si>
    <r>
      <rPr>
        <b val="true"/>
        <sz val="10"/>
        <rFont val="Noto Sans CJK SC"/>
        <family val="2"/>
      </rPr>
      <t xml:space="preserve">비고 </t>
    </r>
    <r>
      <rPr>
        <b val="true"/>
        <sz val="10"/>
        <rFont val="맑은 고딕"/>
        <family val="0"/>
        <charset val="1"/>
      </rPr>
      <t xml:space="preserve">(</t>
    </r>
    <r>
      <rPr>
        <b val="true"/>
        <sz val="10"/>
        <rFont val="Noto Sans CJK SC"/>
        <family val="2"/>
      </rPr>
      <t xml:space="preserve">실패 </t>
    </r>
    <r>
      <rPr>
        <b val="true"/>
        <sz val="10"/>
        <rFont val="맑은 고딕"/>
        <family val="0"/>
        <charset val="1"/>
      </rPr>
      <t xml:space="preserve">· </t>
    </r>
    <r>
      <rPr>
        <b val="true"/>
        <sz val="10"/>
        <rFont val="Noto Sans CJK SC"/>
        <family val="2"/>
      </rPr>
      <t xml:space="preserve">미확인 사유</t>
    </r>
    <r>
      <rPr>
        <b val="true"/>
        <sz val="10"/>
        <rFont val="맑은 고딕"/>
        <family val="0"/>
        <charset val="1"/>
      </rPr>
      <t xml:space="preserve">)</t>
    </r>
  </si>
  <si>
    <r>
      <rPr>
        <sz val="10"/>
        <rFont val="맑은 고딕"/>
        <family val="0"/>
        <charset val="1"/>
      </rPr>
      <t xml:space="preserve">04_</t>
    </r>
    <r>
      <rPr>
        <sz val="10"/>
        <rFont val="Noto Sans CJK SC"/>
        <family val="2"/>
      </rPr>
      <t xml:space="preserve">재질문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수집로그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</si>
  <si>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문서에 없는 것을 물으면 추측하지 않고 확인되지 않는다고 답하며</t>
    </r>
    <r>
      <rPr>
        <sz val="10"/>
        <rFont val="맑은 고딕"/>
        <family val="0"/>
        <charset val="1"/>
      </rPr>
      <t xml:space="preserve">, </t>
    </r>
    <r>
      <rPr>
        <sz val="10"/>
        <rFont val="Noto Sans CJK SC"/>
        <family val="2"/>
      </rPr>
      <t xml:space="preserve">인용된 근거가 없으면 그 사실이 화면에 안내된다</t>
    </r>
  </si>
  <si>
    <r>
      <rPr>
        <sz val="10"/>
        <rFont val="맑은 고딕"/>
        <family val="0"/>
        <charset val="1"/>
      </rPr>
      <t xml:space="preserve">09_</t>
    </r>
    <r>
      <rPr>
        <sz val="10"/>
        <rFont val="Noto Sans CJK SC"/>
        <family val="2"/>
      </rPr>
      <t xml:space="preserve">없는내용</t>
    </r>
    <r>
      <rPr>
        <sz val="10"/>
        <rFont val="맑은 고딕"/>
        <family val="0"/>
        <charset val="1"/>
      </rPr>
      <t xml:space="preserve">_</t>
    </r>
    <r>
      <rPr>
        <sz val="10"/>
        <rFont val="Noto Sans CJK SC"/>
        <family val="2"/>
      </rPr>
      <t xml:space="preserve">질문</t>
    </r>
    <r>
      <rPr>
        <sz val="10"/>
        <rFont val="맑은 고딕"/>
        <family val="0"/>
        <charset val="1"/>
      </rPr>
      <t xml:space="preserve">.png</t>
    </r>
  </si>
  <si>
    <r>
      <rPr>
        <sz val="10"/>
        <rFont val="Noto Sans CJK SC"/>
        <family val="2"/>
      </rPr>
      <t xml:space="preserve">안내 문구는 나오지만 답변에 추측이 섞임 → 프롬프트 </t>
    </r>
    <r>
      <rPr>
        <sz val="10"/>
        <rFont val="맑은 고딕"/>
        <family val="0"/>
        <charset val="1"/>
      </rPr>
      <t xml:space="preserve">3</t>
    </r>
    <r>
      <rPr>
        <sz val="10"/>
        <rFont val="Noto Sans CJK SC"/>
        <family val="2"/>
      </rPr>
      <t xml:space="preserve">에 </t>
    </r>
    <r>
      <rPr>
        <sz val="10"/>
        <rFont val="맑은 고딕"/>
        <family val="0"/>
        <charset val="1"/>
      </rPr>
      <t xml:space="preserve">'</t>
    </r>
    <r>
      <rPr>
        <sz val="10"/>
        <rFont val="Noto Sans CJK SC"/>
        <family val="2"/>
      </rPr>
      <t xml:space="preserve">문서에 없으면 답하지 않는다</t>
    </r>
    <r>
      <rPr>
        <sz val="10"/>
        <rFont val="맑은 고딕"/>
        <family val="0"/>
        <charset val="1"/>
      </rPr>
      <t xml:space="preserve">' </t>
    </r>
    <r>
      <rPr>
        <sz val="10"/>
        <rFont val="Noto Sans CJK SC"/>
        <family val="2"/>
      </rPr>
      <t xml:space="preserve">규칙 추가 예정</t>
    </r>
  </si>
  <si>
    <r>
      <rPr>
        <sz val="10"/>
        <rFont val="Noto Sans CJK SC"/>
        <family val="2"/>
      </rPr>
      <t xml:space="preserve">심화 기능 </t>
    </r>
    <r>
      <rPr>
        <sz val="10"/>
        <rFont val="맑은 고딕"/>
        <family val="0"/>
        <charset val="1"/>
      </rPr>
      <t xml:space="preserve">(</t>
    </r>
    <r>
      <rPr>
        <sz val="10"/>
        <rFont val="Noto Sans CJK SC"/>
        <family val="2"/>
      </rPr>
      <t xml:space="preserve">선택한 것만</t>
    </r>
    <r>
      <rPr>
        <sz val="10"/>
        <rFont val="맑은 고딕"/>
        <family val="0"/>
        <charset val="1"/>
      </rPr>
      <t xml:space="preserve">)</t>
    </r>
  </si>
  <si>
    <r>
      <rPr>
        <sz val="10"/>
        <rFont val="Noto Sans CJK SC"/>
        <family val="2"/>
      </rPr>
      <t xml:space="preserve">같은 질문에 유사도 검색과 </t>
    </r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검색을 각각 적용했을 때 근거 목록이 어떻게 달라지는지 확인된다</t>
    </r>
  </si>
  <si>
    <r>
      <rPr>
        <sz val="10"/>
        <rFont val="맑은 고딕"/>
        <family val="0"/>
        <charset val="1"/>
      </rPr>
      <t xml:space="preserve">MMR </t>
    </r>
    <r>
      <rPr>
        <sz val="10"/>
        <rFont val="Noto Sans CJK SC"/>
        <family val="2"/>
      </rPr>
      <t xml:space="preserve">심화 기능을 선택하지 않음</t>
    </r>
  </si>
  <si>
    <r>
      <rPr>
        <sz val="10"/>
        <rFont val="맑은 고딕"/>
        <family val="0"/>
        <charset val="1"/>
      </rPr>
      <t xml:space="preserve">GMS </t>
    </r>
    <r>
      <rPr>
        <sz val="10"/>
        <rFont val="Noto Sans CJK SC"/>
        <family val="2"/>
      </rPr>
      <t xml:space="preserve">응답 지연으로 측정 못 함 → 상호 점검 전에 다시 측정</t>
    </r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</si>
</sst>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맑은 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맑은 고딕"/>
      <family val="3"/>
      <charset val="129"/>
    </font>
    <font>
      <b val="true"/>
      <sz val="14"/>
      <name val="Noto Sans CJK SC"/>
      <family val="2"/>
    </font>
    <font>
      <b val="true"/>
      <sz val="11"/>
      <name val="Noto Sans CJK SC"/>
      <family val="2"/>
    </font>
    <font>
      <sz val="10"/>
      <name val="맑은 고딕"/>
      <family val="3"/>
      <charset val="129"/>
    </font>
    <font>
      <sz val="10"/>
      <name val="Noto Sans CJK SC"/>
      <family val="2"/>
    </font>
    <font>
      <sz val="9"/>
      <color rgb="FF595959"/>
      <name val="Noto Sans CJK SC"/>
      <family val="2"/>
    </font>
    <font>
      <sz val="9"/>
      <color rgb="FF595959"/>
      <name val="맑은 고딕"/>
      <family val="0"/>
      <charset val="1"/>
    </font>
    <font>
      <b val="true"/>
      <sz val="11"/>
      <name val="맑은 고딕"/>
      <family val="3"/>
      <charset val="129"/>
    </font>
    <font>
      <b val="true"/>
      <sz val="10"/>
      <name val="Noto Sans CJK SC"/>
      <family val="2"/>
    </font>
    <font>
      <b val="true"/>
      <sz val="10"/>
      <name val="맑은 고딕"/>
      <family val="3"/>
      <charset val="129"/>
    </font>
    <font>
      <b val="true"/>
      <sz val="11"/>
      <name val="맑은 고딕"/>
      <family val="0"/>
      <charset val="1"/>
    </font>
    <font>
      <sz val="10"/>
      <name val="맑은 고딕"/>
      <family val="0"/>
      <charset val="1"/>
    </font>
    <font>
      <b val="true"/>
      <sz val="14"/>
      <color rgb="FF000000"/>
      <name val="Noto Sans CJK SC"/>
      <family val="2"/>
    </font>
    <font>
      <b val="true"/>
      <sz val="14"/>
      <color rgb="FF000000"/>
      <name val="맑은 고딕"/>
      <family val="0"/>
      <charset val="1"/>
    </font>
    <font>
      <b val="true"/>
      <sz val="10"/>
      <color rgb="FF000000"/>
      <name val="Noto Sans CJK SC"/>
      <family val="2"/>
    </font>
    <font>
      <sz val="10"/>
      <color rgb="FF000000"/>
      <name val="Noto Sans CJK SC"/>
      <family val="2"/>
    </font>
    <font>
      <sz val="10"/>
      <color rgb="FF000000"/>
      <name val="맑은 고딕"/>
      <family val="0"/>
      <charset val="1"/>
    </font>
    <font>
      <b val="true"/>
      <sz val="10"/>
      <color rgb="FFC00000"/>
      <name val="Noto Sans CJK SC"/>
      <family val="2"/>
    </font>
    <font>
      <b val="true"/>
      <sz val="10"/>
      <color rgb="FFC00000"/>
      <name val="맑은 고딕"/>
      <family val="0"/>
      <charset val="1"/>
    </font>
    <font>
      <b val="true"/>
      <sz val="10"/>
      <color rgb="FF000000"/>
      <name val="맑은 고딕"/>
      <family val="0"/>
      <charset val="1"/>
    </font>
    <font>
      <b val="true"/>
      <sz val="10"/>
      <name val="맑은 고딕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E699"/>
        <bgColor rgb="FFFFEB9C"/>
      </patternFill>
    </fill>
    <fill>
      <patternFill patternType="solid">
        <fgColor rgb="FFD9D9D9"/>
        <bgColor rgb="FFE2EFDA"/>
      </patternFill>
    </fill>
    <fill>
      <patternFill patternType="solid">
        <fgColor rgb="FFFFF8E1"/>
        <bgColor rgb="FFFFF2CC"/>
      </patternFill>
    </fill>
    <fill>
      <patternFill patternType="solid">
        <fgColor rgb="FFDAF2D0"/>
        <bgColor rgb="FFE2EFDA"/>
      </patternFill>
    </fill>
    <fill>
      <patternFill patternType="solid">
        <fgColor rgb="FFE2EFDA"/>
        <bgColor rgb="FFDAF2D0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2EFDA"/>
      </patternFill>
    </fill>
    <fill>
      <patternFill patternType="solid">
        <fgColor rgb="FFFFF2CC"/>
        <bgColor rgb="FFFFF8E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3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ont>
        <b val="1"/>
        <color rgb="FF006100"/>
      </font>
      <fill>
        <patternFill>
          <bgColor rgb="FFC6EFCE"/>
        </patternFill>
      </fill>
    </dxf>
    <dxf>
      <font>
        <b val="1"/>
        <color rgb="FF9C0006"/>
      </font>
      <fill>
        <patternFill>
          <bgColor rgb="FFFFC7CE"/>
        </patternFill>
      </fill>
    </dxf>
    <dxf>
      <font>
        <b val="1"/>
        <color rgb="FF9C5700"/>
      </font>
      <fill>
        <patternFill>
          <bgColor rgb="FFFFEB9C"/>
        </patternFill>
      </fill>
    </dxf>
    <dxf>
      <font>
        <b val="1"/>
        <color rgb="FF595959"/>
      </font>
      <fill>
        <patternFill>
          <bgColor rgb="FFEDEDED"/>
        </patternFill>
      </fill>
    </dxf>
  </dxfs>
  <colors>
    <indexedColors>
      <rgbColor rgb="FF000000"/>
      <rgbColor rgb="FFEDEDED"/>
      <rgbColor rgb="FFC0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FCE4D6"/>
      <rgbColor rgb="FF808080"/>
      <rgbColor rgb="FF9999FF"/>
      <rgbColor rgb="FF993366"/>
      <rgbColor rgb="FFFFF8E1"/>
      <rgbColor rgb="FFC6EFCE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DAF2D0"/>
      <rgbColor rgb="FFFFEB9C"/>
      <rgbColor rgb="FFFFF2CC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I46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53125" defaultRowHeight="16.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50"/>
    <col collapsed="false" customWidth="true" hidden="false" outlineLevel="0" max="6" min="6" style="0" width="46"/>
    <col collapsed="false" customWidth="true" hidden="false" outlineLevel="0" max="7" min="7" style="0" width="11"/>
    <col collapsed="false" customWidth="true" hidden="false" outlineLevel="0" max="8" min="8" style="0" width="24"/>
    <col collapsed="false" customWidth="true" hidden="false" outlineLevel="0" max="9" min="9" style="0" width="30"/>
  </cols>
  <sheetData>
    <row r="2" customFormat="false" ht="39.75" hidden="false" customHeight="true" outlineLevel="0" collapsed="false">
      <c r="B2" s="1" t="s">
        <v>0</v>
      </c>
      <c r="C2" s="1"/>
      <c r="D2" s="1"/>
      <c r="E2" s="1"/>
      <c r="F2" s="1"/>
      <c r="G2" s="1"/>
      <c r="H2" s="1"/>
      <c r="I2" s="1"/>
    </row>
    <row r="3" customFormat="false" ht="24" hidden="false" customHeight="true" outlineLevel="0" collapsed="false">
      <c r="B3" s="2" t="s">
        <v>1</v>
      </c>
      <c r="C3" s="3" t="inlineStr">
        <is>
          <t xml:space="preserve">셀프</t>
        </is>
      </c>
      <c r="D3" s="3"/>
      <c r="E3" s="3"/>
      <c r="F3" s="4" t="s">
        <v>2</v>
      </c>
      <c r="G3" s="4"/>
      <c r="H3" s="4"/>
      <c r="I3" s="4"/>
    </row>
    <row r="4" customFormat="false" ht="24" hidden="false" customHeight="true" outlineLevel="0" collapsed="false">
      <c r="B4" s="2" t="s">
        <v>3</v>
      </c>
      <c r="C4" s="3"/>
      <c r="D4" s="3"/>
      <c r="E4" s="3"/>
      <c r="F4" s="4"/>
      <c r="G4" s="4"/>
      <c r="H4" s="4"/>
      <c r="I4" s="4"/>
    </row>
    <row r="5" customFormat="false" ht="24" hidden="false" customHeight="true" outlineLevel="0" collapsed="false">
      <c r="B5" s="2" t="s">
        <v>4</v>
      </c>
      <c r="C5" s="3"/>
      <c r="D5" s="3"/>
      <c r="E5" s="3"/>
      <c r="F5" s="4"/>
      <c r="G5" s="4"/>
      <c r="H5" s="4"/>
      <c r="I5" s="4"/>
    </row>
    <row r="6" customFormat="false" ht="24" hidden="false" customHeight="true" outlineLevel="0" collapsed="false">
      <c r="B6" s="2" t="s">
        <v>5</v>
      </c>
      <c r="C6" s="3"/>
      <c r="D6" s="3"/>
      <c r="E6" s="3"/>
      <c r="F6" s="4"/>
      <c r="G6" s="4"/>
      <c r="H6" s="4"/>
      <c r="I6" s="4"/>
    </row>
    <row r="7" customFormat="false" ht="18" hidden="false" customHeight="true" outlineLevel="0" collapsed="false">
      <c r="B7" s="5" t="s">
        <v>6</v>
      </c>
      <c r="C7" s="5"/>
      <c r="D7" s="5"/>
      <c r="E7" s="5"/>
      <c r="F7" s="5"/>
      <c r="G7" s="5"/>
      <c r="H7" s="5"/>
      <c r="I7" s="5"/>
    </row>
    <row r="8" customFormat="false" ht="24" hidden="false" customHeight="true" outlineLevel="0" collapsed="false">
      <c r="B8" s="2" t="s">
        <v>7</v>
      </c>
      <c r="C8" s="2" t="s">
        <v>8</v>
      </c>
      <c r="D8" s="2" t="s">
        <v>9</v>
      </c>
      <c r="E8" s="2" t="s">
        <v>10</v>
      </c>
      <c r="F8" s="2" t="s">
        <v>11</v>
      </c>
      <c r="G8" s="2" t="s">
        <v>12</v>
      </c>
      <c r="H8" s="2" t="s">
        <v>13</v>
      </c>
      <c r="I8" s="2" t="s">
        <v>14</v>
      </c>
    </row>
    <row r="9" customFormat="false" ht="34.5" hidden="false" customHeight="true" outlineLevel="0" collapsed="false">
      <c r="B9" s="6" t="s">
        <v>15</v>
      </c>
      <c r="C9" s="7" t="n">
        <v>1</v>
      </c>
      <c r="D9" s="7" t="s">
        <v>16</v>
      </c>
      <c r="E9" s="4" t="s">
        <v>17</v>
      </c>
      <c r="F9" s="4" t="s">
        <v>18</v>
      </c>
      <c r="G9" s="8" t="inlineStr">
        <is>
          <t xml:space="preserve">미확인</t>
        </is>
      </c>
      <c r="H9" s="3" t="inlineStr">
        <is>
          <t xml:space="preserve">참고: full_verify.jsonl</t>
        </is>
      </c>
      <c r="I9" s="3" t="inlineStr">
        <is>
          <t xml:space="preserve">직접 점검 전. 메타964/외부314 별도.</t>
        </is>
      </c>
    </row>
    <row r="10" customFormat="false" ht="24" hidden="false" customHeight="true" outlineLevel="0" collapsed="false">
      <c r="B10" s="6"/>
      <c r="C10" s="7" t="n">
        <v>2</v>
      </c>
      <c r="D10" s="7" t="s">
        <v>19</v>
      </c>
      <c r="E10" s="4" t="s">
        <v>20</v>
      </c>
      <c r="F10" s="4" t="s">
        <v>21</v>
      </c>
      <c r="G10" s="8" t="inlineStr">
        <is>
          <t xml:space="preserve">미확인</t>
        </is>
      </c>
      <c r="H10" s="3" t="inlineStr">
        <is>
          <t xml:space="preserve">참고: rerun_index.jsonl</t>
        </is>
      </c>
      <c r="I10" s="3" t="inlineStr">
        <is>
          <t xml:space="preserve">직접 점검 전. 기존 Codex 재실행 기록 참고.</t>
        </is>
      </c>
    </row>
    <row r="11" customFormat="false" ht="48" hidden="false" customHeight="true" outlineLevel="0" collapsed="false">
      <c r="B11" s="6" t="s">
        <v>22</v>
      </c>
      <c r="C11" s="7" t="n">
        <v>3</v>
      </c>
      <c r="D11" s="7" t="s">
        <v>23</v>
      </c>
      <c r="E11" s="4" t="s">
        <v>24</v>
      </c>
      <c r="F11" s="4" t="s">
        <v>25</v>
      </c>
      <c r="G11" s="8" t="inlineStr">
        <is>
          <t xml:space="preserve">미확인</t>
        </is>
      </c>
      <c r="H11" s="3" t="inlineStr">
        <is>
          <t xml:space="preserve">참고: interstellar_prepare.json</t>
        </is>
      </c>
      <c r="I11" s="3" t="inlineStr">
        <is>
          <t xml:space="preserve">직접 점검 전. 검색어·선별 기록 참고.</t>
        </is>
      </c>
    </row>
    <row r="12" customFormat="false" ht="34.5" hidden="false" customHeight="true" outlineLevel="0" collapsed="false">
      <c r="B12" s="6"/>
      <c r="C12" s="7" t="n">
        <v>4</v>
      </c>
      <c r="D12" s="7" t="s">
        <v>26</v>
      </c>
      <c r="E12" s="4" t="s">
        <v>27</v>
      </c>
      <c r="F12" s="4" t="s">
        <v>28</v>
      </c>
      <c r="G12" s="8" t="inlineStr">
        <is>
          <t xml:space="preserve">미확인</t>
        </is>
      </c>
      <c r="H12" s="3" t="inlineStr">
        <is>
          <t xml:space="preserve">참고: interstellar_cached.json</t>
        </is>
      </c>
      <c r="I12" s="3" t="inlineStr">
        <is>
          <t xml:space="preserve">직접 점검 전. 성공 캐시 재사용 기록 참고.</t>
        </is>
      </c>
    </row>
    <row r="13" customFormat="false" ht="34.5" hidden="false" customHeight="true" outlineLevel="0" collapsed="false">
      <c r="B13" s="6"/>
      <c r="C13" s="7" t="n">
        <v>5</v>
      </c>
      <c r="D13" s="7" t="s">
        <v>29</v>
      </c>
      <c r="E13" s="4" t="s">
        <v>30</v>
      </c>
      <c r="F13" s="4" t="s">
        <v>31</v>
      </c>
      <c r="G13" s="8" t="inlineStr">
        <is>
          <t xml:space="preserve">미확인</t>
        </is>
      </c>
      <c r="H13" s="3" t="inlineStr">
        <is>
          <t xml:space="preserve">참고: SUBMISSION.md</t>
        </is>
      </c>
      <c r="I13" s="3" t="inlineStr">
        <is>
          <t xml:space="preserve">청킹 설정 변경 전후 실측 미실시.</t>
        </is>
      </c>
    </row>
    <row r="14" customFormat="false" ht="34.5" hidden="false" customHeight="true" outlineLevel="0" collapsed="false">
      <c r="B14" s="6" t="s">
        <v>32</v>
      </c>
      <c r="C14" s="7" t="n">
        <v>6</v>
      </c>
      <c r="D14" s="7" t="s">
        <v>33</v>
      </c>
      <c r="E14" s="4" t="s">
        <v>34</v>
      </c>
      <c r="F14" s="9" t="s">
        <v>35</v>
      </c>
      <c r="G14" s="8" t="inlineStr">
        <is>
          <t xml:space="preserve">미확인</t>
        </is>
      </c>
      <c r="H14" s="3" t="inlineStr">
        <is>
          <t xml:space="preserve">참고: SUBMISSION.md</t>
        </is>
      </c>
      <c r="I14" s="3" t="inlineStr">
        <is>
          <t xml:space="preserve">Top-k 변경 전후 근거 비교 미실시.</t>
        </is>
      </c>
    </row>
    <row r="15" customFormat="false" ht="34.5" hidden="false" customHeight="true" outlineLevel="0" collapsed="false">
      <c r="B15" s="6"/>
      <c r="C15" s="7" t="n">
        <v>7</v>
      </c>
      <c r="D15" s="7" t="s">
        <v>36</v>
      </c>
      <c r="E15" s="9" t="s">
        <v>37</v>
      </c>
      <c r="F15" s="4" t="s">
        <v>38</v>
      </c>
      <c r="G15" s="8" t="inlineStr">
        <is>
          <t xml:space="preserve">미확인</t>
        </is>
      </c>
      <c r="H15" s="3" t="inlineStr">
        <is>
          <t xml:space="preserve">참고: rag.py</t>
        </is>
      </c>
      <c r="I15" s="3" t="inlineStr">
        <is>
          <t xml:space="preserve">직접 코드 확인 전. retrieve→generate 구현 참고.</t>
        </is>
      </c>
    </row>
    <row r="16" customFormat="false" ht="34.5" hidden="false" customHeight="true" outlineLevel="0" collapsed="false">
      <c r="B16" s="6"/>
      <c r="C16" s="7" t="n">
        <v>8</v>
      </c>
      <c r="D16" s="7" t="s">
        <v>39</v>
      </c>
      <c r="E16" s="4" t="s">
        <v>40</v>
      </c>
      <c r="F16" s="4" t="s">
        <v>41</v>
      </c>
      <c r="G16" s="8" t="inlineStr">
        <is>
          <t xml:space="preserve">미확인</t>
        </is>
      </c>
      <c r="H16" s="3" t="inlineStr">
        <is>
          <t xml:space="preserve">참고: results.json</t>
        </is>
      </c>
      <c r="I16" s="3" t="inlineStr">
        <is>
          <t xml:space="preserve">직접 점검 전. 실제 답변·인용 기록 참고.</t>
        </is>
      </c>
    </row>
    <row r="17" customFormat="false" ht="48" hidden="false" customHeight="true" outlineLevel="0" collapsed="false">
      <c r="B17" s="6"/>
      <c r="C17" s="7" t="n">
        <v>9</v>
      </c>
      <c r="D17" s="7" t="s">
        <v>42</v>
      </c>
      <c r="E17" s="4" t="s">
        <v>43</v>
      </c>
      <c r="F17" s="4" t="s">
        <v>44</v>
      </c>
      <c r="G17" s="8" t="inlineStr">
        <is>
          <t xml:space="preserve">미확인</t>
        </is>
      </c>
      <c r="H17" s="3" t="inlineStr">
        <is>
          <t xml:space="preserve">참고: actual_cases.json</t>
        </is>
      </c>
      <c r="I17" s="3" t="inlineStr">
        <is>
          <t xml:space="preserve">직접 점검 전. 과거 성공·실패 구분.</t>
        </is>
      </c>
    </row>
    <row r="18" customFormat="false" ht="24" hidden="false" customHeight="true" outlineLevel="0" collapsed="false">
      <c r="B18" s="6" t="s">
        <v>45</v>
      </c>
      <c r="C18" s="7" t="n">
        <v>10</v>
      </c>
      <c r="D18" s="7" t="s">
        <v>46</v>
      </c>
      <c r="E18" s="4" t="s">
        <v>47</v>
      </c>
      <c r="F18" s="4" t="s">
        <v>48</v>
      </c>
      <c r="G18" s="8" t="inlineStr">
        <is>
          <t xml:space="preserve">미확인</t>
        </is>
      </c>
      <c r="H18" s="3" t="inlineStr">
        <is>
          <t xml:space="preserve">참고: browser_results.json</t>
        </is>
      </c>
      <c r="I18" s="3" t="inlineStr">
        <is>
          <t xml:space="preserve">직접 점검 전. 과거 Codex 전환 기록 참고.</t>
        </is>
      </c>
    </row>
    <row r="19" customFormat="false" ht="34.5" hidden="false" customHeight="true" outlineLevel="0" collapsed="false">
      <c r="B19" s="6"/>
      <c r="C19" s="7" t="n">
        <v>11</v>
      </c>
      <c r="D19" s="7" t="s">
        <v>49</v>
      </c>
      <c r="E19" s="4" t="s">
        <v>50</v>
      </c>
      <c r="F19" s="4" t="s">
        <v>51</v>
      </c>
      <c r="G19" s="8" t="inlineStr">
        <is>
          <t xml:space="preserve">미확인</t>
        </is>
      </c>
      <c r="H19" s="3" t="inlineStr">
        <is>
          <t xml:space="preserve">참고: actual_case.json</t>
        </is>
      </c>
      <c r="I19" s="3" t="inlineStr">
        <is>
          <t xml:space="preserve">직접 점검 전. 정확 원문 A/B 검색 기록 참고.</t>
        </is>
      </c>
    </row>
    <row r="20" customFormat="false" ht="24" hidden="false" customHeight="true" outlineLevel="0" collapsed="false">
      <c r="B20" s="6"/>
      <c r="C20" s="7" t="n">
        <v>12</v>
      </c>
      <c r="D20" s="7" t="s">
        <v>52</v>
      </c>
      <c r="E20" s="4" t="s">
        <v>53</v>
      </c>
      <c r="F20" s="4" t="s">
        <v>54</v>
      </c>
      <c r="G20" s="8" t="inlineStr">
        <is>
          <t xml:space="preserve">미확인</t>
        </is>
      </c>
      <c r="H20" s="3" t="inlineStr">
        <is>
          <t xml:space="preserve">참고: results.json</t>
        </is>
      </c>
      <c r="I20" s="3" t="inlineStr">
        <is>
          <t xml:space="preserve">직접 점검 전. 지정 혼합 질문 성공 기록 참고.</t>
        </is>
      </c>
    </row>
    <row r="21" customFormat="false" ht="34.5" hidden="false" customHeight="true" outlineLevel="0" collapsed="false">
      <c r="B21" s="6"/>
      <c r="C21" s="7" t="n">
        <v>13</v>
      </c>
      <c r="D21" s="7" t="s">
        <v>55</v>
      </c>
      <c r="E21" s="4" t="s">
        <v>56</v>
      </c>
      <c r="F21" s="4" t="s">
        <v>57</v>
      </c>
      <c r="G21" s="8" t="inlineStr">
        <is>
          <t xml:space="preserve">미확인</t>
        </is>
      </c>
      <c r="H21" s="3" t="inlineStr">
        <is>
          <t xml:space="preserve">참고: implementation_report.md</t>
        </is>
      </c>
      <c r="I21" s="3" t="inlineStr">
        <is>
          <t xml:space="preserve">직접 점검 전. 재생·대체 검사 참고.</t>
        </is>
      </c>
    </row>
    <row r="22" customFormat="false" ht="48" hidden="false" customHeight="true" outlineLevel="0" collapsed="false">
      <c r="B22" s="6"/>
      <c r="C22" s="7" t="n">
        <v>14</v>
      </c>
      <c r="D22" s="7" t="s">
        <v>55</v>
      </c>
      <c r="E22" s="9" t="s">
        <v>58</v>
      </c>
      <c r="F22" s="4" t="s">
        <v>59</v>
      </c>
      <c r="G22" s="8" t="inlineStr">
        <is>
          <t xml:space="preserve">해당없음</t>
        </is>
      </c>
      <c r="H22" s="3" t="inlineStr">
        <is>
          <t xml:space="preserve">참고: README.md</t>
        </is>
      </c>
      <c r="I22" s="3" t="inlineStr">
        <is>
          <t xml:space="preserve">영화 정보 서비스: 건강·금융 조언 도메인 아님.</t>
        </is>
      </c>
    </row>
    <row r="23" customFormat="false" ht="34.5" hidden="false" customHeight="true" outlineLevel="0" collapsed="false">
      <c r="B23" s="6" t="s">
        <v>60</v>
      </c>
      <c r="C23" s="7" t="n">
        <v>15</v>
      </c>
      <c r="D23" s="7" t="s">
        <v>61</v>
      </c>
      <c r="E23" s="4" t="s">
        <v>62</v>
      </c>
      <c r="F23" s="4" t="s">
        <v>63</v>
      </c>
      <c r="G23" s="8" t="inlineStr">
        <is>
          <t xml:space="preserve">미확인</t>
        </is>
      </c>
      <c r="H23" s="3" t="inlineStr">
        <is>
          <t xml:space="preserve">참고: REQUIREMENTS.md</t>
        </is>
      </c>
      <c r="I23" s="3" t="inlineStr">
        <is>
          <t xml:space="preserve">별도 프론트 심화 선택·직접 확인 전.</t>
        </is>
      </c>
    </row>
    <row r="24" customFormat="false" ht="34.5" hidden="false" customHeight="true" outlineLevel="0" collapsed="false">
      <c r="B24" s="6"/>
      <c r="C24" s="7" t="n">
        <v>16</v>
      </c>
      <c r="D24" s="7" t="s">
        <v>64</v>
      </c>
      <c r="E24" s="4" t="s">
        <v>65</v>
      </c>
      <c r="F24" s="4" t="s">
        <v>66</v>
      </c>
      <c r="G24" s="8" t="inlineStr">
        <is>
          <t xml:space="preserve">미확인</t>
        </is>
      </c>
      <c r="H24" s="3" t="inlineStr">
        <is>
          <t xml:space="preserve">참고: REQUIREMENTS.md</t>
        </is>
      </c>
      <c r="I24" s="3" t="inlineStr">
        <is>
          <t xml:space="preserve">MMR 미구현·범위 제외. 미선택이면 해당없음.</t>
        </is>
      </c>
    </row>
    <row r="25" customFormat="false" ht="61.5" hidden="false" customHeight="true" outlineLevel="0" collapsed="false">
      <c r="B25" s="6"/>
      <c r="C25" s="7" t="n">
        <v>17</v>
      </c>
      <c r="D25" s="7" t="s">
        <v>67</v>
      </c>
      <c r="E25" s="4" t="s">
        <v>68</v>
      </c>
      <c r="F25" s="4" t="s">
        <v>69</v>
      </c>
      <c r="G25" s="8" t="inlineStr">
        <is>
          <t xml:space="preserve">미확인</t>
        </is>
      </c>
      <c r="H25" s="3" t="inlineStr">
        <is>
          <t xml:space="preserve">참고: REQUIREMENTS.md</t>
        </is>
      </c>
      <c r="I25" s="3" t="inlineStr">
        <is>
          <t xml:space="preserve">RAG 전후 5문항 비교 미실시.</t>
        </is>
      </c>
    </row>
    <row r="26" customFormat="false" ht="24" hidden="false" customHeight="true" outlineLevel="0" collapsed="false">
      <c r="B26" s="6"/>
      <c r="C26" s="7" t="n">
        <v>18</v>
      </c>
      <c r="D26" s="7" t="s">
        <v>67</v>
      </c>
      <c r="E26" s="4" t="s">
        <v>70</v>
      </c>
      <c r="F26" s="4" t="s">
        <v>71</v>
      </c>
      <c r="G26" s="8" t="inlineStr">
        <is>
          <t xml:space="preserve">미확인</t>
        </is>
      </c>
      <c r="H26" s="3" t="inlineStr">
        <is>
          <t xml:space="preserve">참고: REQUIREMENTS.md</t>
        </is>
      </c>
      <c r="I26" s="3" t="inlineStr">
        <is>
          <t xml:space="preserve">17번 RAG 비교 문서 없음. 미선택이면 해당없음.</t>
        </is>
      </c>
    </row>
    <row r="27" customFormat="false" ht="24" hidden="false" customHeight="true" outlineLevel="0" collapsed="false">
      <c r="B27" s="6"/>
      <c r="C27" s="7" t="n">
        <v>19</v>
      </c>
      <c r="D27" s="7" t="s">
        <v>72</v>
      </c>
      <c r="E27" s="4" t="s">
        <v>73</v>
      </c>
      <c r="F27" s="4" t="s">
        <v>74</v>
      </c>
      <c r="G27" s="8" t="inlineStr">
        <is>
          <t xml:space="preserve">미확인</t>
        </is>
      </c>
      <c r="H27" s="3" t="inlineStr">
        <is>
          <t xml:space="preserve">참고: implementation_report.md</t>
        </is>
      </c>
      <c r="I27" s="3" t="inlineStr">
        <is>
          <t xml:space="preserve">출처 구분 구현. 심화 선택·직접 확인 전.</t>
        </is>
      </c>
    </row>
    <row r="28" customFormat="false" ht="24" hidden="false" customHeight="true" outlineLevel="0" collapsed="false">
      <c r="B28" s="6" t="s">
        <v>75</v>
      </c>
      <c r="C28" s="7" t="n">
        <v>20</v>
      </c>
      <c r="D28" s="7" t="s">
        <v>76</v>
      </c>
      <c r="E28" s="4" t="s">
        <v>77</v>
      </c>
      <c r="F28" s="4" t="s">
        <v>78</v>
      </c>
      <c r="G28" s="8" t="inlineStr">
        <is>
          <t xml:space="preserve">미확인</t>
        </is>
      </c>
      <c r="H28" s="3" t="inlineStr">
        <is>
          <t xml:space="preserve">참고: results.json</t>
        </is>
      </c>
      <c r="I28" s="3" t="inlineStr">
        <is>
          <t xml:space="preserve">직접 사용성 점검 전. 단발 시간은 평균이 아님.</t>
        </is>
      </c>
    </row>
    <row r="29" customFormat="false" ht="48" hidden="false" customHeight="true" outlineLevel="0" collapsed="false">
      <c r="B29" s="6"/>
      <c r="C29" s="7" t="n">
        <v>21</v>
      </c>
      <c r="D29" s="7" t="s">
        <v>79</v>
      </c>
      <c r="E29" s="4" t="s">
        <v>80</v>
      </c>
      <c r="F29" s="4" t="s">
        <v>81</v>
      </c>
      <c r="G29" s="8" t="inlineStr">
        <is>
          <t xml:space="preserve">미확인</t>
        </is>
      </c>
      <c r="H29" s="3" t="inlineStr">
        <is>
          <t xml:space="preserve">참고: REQUIREMENTS.md</t>
        </is>
      </c>
      <c r="I29" s="3" t="inlineStr">
        <is>
          <t xml:space="preserve">직접 점검 전. 최종 제출물 보안 검사도 남음.</t>
        </is>
      </c>
    </row>
    <row r="30" customFormat="false" ht="34.5" hidden="false" customHeight="true" outlineLevel="0" collapsed="false">
      <c r="B30" s="6"/>
      <c r="C30" s="7" t="n">
        <v>22</v>
      </c>
      <c r="D30" s="7" t="s">
        <v>82</v>
      </c>
      <c r="E30" s="4" t="s">
        <v>83</v>
      </c>
      <c r="F30" s="4" t="s">
        <v>84</v>
      </c>
      <c r="G30" s="8" t="inlineStr">
        <is>
          <t xml:space="preserve">미확인</t>
        </is>
      </c>
      <c r="H30" s="3" t="inlineStr">
        <is>
          <t xml:space="preserve">참고: REQUIREMENTS.md</t>
        </is>
      </c>
      <c r="I30" s="3" t="inlineStr">
        <is>
          <t xml:space="preserve">직접 파일 구성 확인 전. 역할별 모듈 참고.</t>
        </is>
      </c>
    </row>
    <row r="31" customFormat="false" ht="34.5" hidden="false" customHeight="true" outlineLevel="0" collapsed="false">
      <c r="B31" s="6"/>
      <c r="C31" s="7" t="n">
        <v>23</v>
      </c>
      <c r="D31" s="7" t="s">
        <v>85</v>
      </c>
      <c r="E31" s="4" t="s">
        <v>86</v>
      </c>
      <c r="F31" s="4" t="s">
        <v>87</v>
      </c>
      <c r="G31" s="8" t="inlineStr">
        <is>
          <t xml:space="preserve">미확인</t>
        </is>
      </c>
      <c r="H31" s="3" t="inlineStr">
        <is>
          <t xml:space="preserve">참고: wiki.py</t>
        </is>
      </c>
      <c r="I31" s="3" t="inlineStr">
        <is>
          <t xml:space="preserve">직접 코드 확인 전. 실제/대체 재시도 검사 구분.</t>
        </is>
      </c>
    </row>
    <row r="32" customFormat="false" ht="24" hidden="false" customHeight="true" outlineLevel="0" collapsed="false">
      <c r="B32" s="6"/>
      <c r="C32" s="7" t="n">
        <v>24</v>
      </c>
      <c r="D32" s="7" t="s">
        <v>88</v>
      </c>
      <c r="E32" s="4" t="s">
        <v>89</v>
      </c>
      <c r="F32" s="9" t="s">
        <v>90</v>
      </c>
      <c r="G32" s="8" t="inlineStr">
        <is>
          <t xml:space="preserve">미확인</t>
        </is>
      </c>
      <c r="H32" s="3" t="inlineStr">
        <is>
          <t xml:space="preserve">참고: source_conditions.md</t>
        </is>
      </c>
      <c r="I32" s="3" t="inlineStr">
        <is>
          <t xml:space="preserve">출처·조건 문서 있음. 전체 이용 허가는 미확인.</t>
        </is>
      </c>
    </row>
    <row r="33" customFormat="false" ht="34.5" hidden="false" customHeight="true" outlineLevel="0" collapsed="false">
      <c r="B33" s="6" t="s">
        <v>91</v>
      </c>
      <c r="C33" s="7" t="n">
        <v>25</v>
      </c>
      <c r="D33" s="10" t="s">
        <v>92</v>
      </c>
      <c r="E33" s="4" t="s">
        <v>93</v>
      </c>
      <c r="F33" s="4" t="s">
        <v>94</v>
      </c>
      <c r="G33" s="8" t="inlineStr">
        <is>
          <t xml:space="preserve">미확인</t>
        </is>
      </c>
      <c r="H33" s="3" t="inlineStr">
        <is>
          <t xml:space="preserve">참고: REQUIREMENTS.md</t>
        </is>
      </c>
      <c r="I33" s="3" t="inlineStr">
        <is>
          <t xml:space="preserve">개별 미확인 항목이 남아 전체 통과 판단 전.</t>
        </is>
      </c>
    </row>
    <row r="34" customFormat="false" ht="24" hidden="false" customHeight="true" outlineLevel="0" collapsed="false">
      <c r="B34" s="6"/>
      <c r="C34" s="7" t="n">
        <v>26</v>
      </c>
      <c r="D34" s="10" t="s">
        <v>92</v>
      </c>
      <c r="E34" s="4" t="s">
        <v>95</v>
      </c>
      <c r="F34" s="4" t="s">
        <v>96</v>
      </c>
      <c r="G34" s="8" t="inlineStr">
        <is>
          <t xml:space="preserve">미확인</t>
        </is>
      </c>
      <c r="H34" s="3" t="inlineStr">
        <is>
          <t xml:space="preserve">참고: SUBMISSION.md</t>
        </is>
      </c>
      <c r="I34" s="3" t="inlineStr">
        <is>
          <t xml:space="preserve">사용자 직접 캡처와 최종 증빙 대조 전.</t>
        </is>
      </c>
    </row>
    <row r="35" customFormat="false" ht="48" hidden="false" customHeight="true" outlineLevel="0" collapsed="false">
      <c r="B35" s="6"/>
      <c r="C35" s="7" t="n">
        <v>27</v>
      </c>
      <c r="D35" s="10" t="s">
        <v>92</v>
      </c>
      <c r="E35" s="4" t="s">
        <v>97</v>
      </c>
      <c r="F35" s="4" t="s">
        <v>71</v>
      </c>
      <c r="G35" s="8" t="inlineStr">
        <is>
          <t xml:space="preserve">미확인</t>
        </is>
      </c>
      <c r="H35" s="3" t="inlineStr">
        <is>
          <t xml:space="preserve">참고: SUBMISSION.md</t>
        </is>
      </c>
      <c r="I35" s="3" t="inlineStr">
        <is>
          <t xml:space="preserve">실제 상호 점검·최종 제출물 구성 전.</t>
        </is>
      </c>
    </row>
    <row r="37" customFormat="false" ht="19.5" hidden="false" customHeight="true" outlineLevel="0" collapsed="false">
      <c r="B37" s="2" t="s">
        <v>98</v>
      </c>
      <c r="C37" s="11" t="s">
        <v>99</v>
      </c>
      <c r="D37" s="11"/>
      <c r="E37" s="11"/>
      <c r="F37" s="12" t="n">
        <f aca="false">COUNTIF($G$9:$G$35,"통과")</f>
        <v>0</v>
      </c>
      <c r="G37" s="4" t="s">
        <v>100</v>
      </c>
      <c r="H37" s="4"/>
      <c r="I37" s="4"/>
    </row>
    <row r="38" customFormat="false" ht="19.5" hidden="false" customHeight="true" outlineLevel="0" collapsed="false">
      <c r="B38" s="2"/>
      <c r="C38" s="11" t="s">
        <v>101</v>
      </c>
      <c r="D38" s="11"/>
      <c r="E38" s="11"/>
      <c r="F38" s="12" t="n">
        <f aca="false">COUNTIF($G$9:$G$35,"실패")</f>
        <v>0</v>
      </c>
      <c r="G38" s="4"/>
      <c r="H38" s="4"/>
      <c r="I38" s="4"/>
    </row>
    <row r="39" customFormat="false" ht="19.5" hidden="false" customHeight="true" outlineLevel="0" collapsed="false">
      <c r="B39" s="2"/>
      <c r="C39" s="11" t="s">
        <v>102</v>
      </c>
      <c r="D39" s="11"/>
      <c r="E39" s="11"/>
      <c r="F39" s="12" t="n">
        <f aca="false">COUNTIF($G$9:$G$35,"미확인")</f>
        <v>26</v>
      </c>
      <c r="G39" s="4"/>
      <c r="H39" s="4"/>
      <c r="I39" s="4"/>
    </row>
    <row r="40" customFormat="false" ht="19.5" hidden="false" customHeight="true" outlineLevel="0" collapsed="false">
      <c r="B40" s="2"/>
      <c r="C40" s="11" t="s">
        <v>103</v>
      </c>
      <c r="D40" s="11"/>
      <c r="E40" s="11"/>
      <c r="F40" s="12" t="n">
        <f aca="false">COUNTIF($G$9:$G$35,"해당없음")</f>
        <v>1</v>
      </c>
      <c r="G40" s="4"/>
      <c r="H40" s="4"/>
      <c r="I40" s="4"/>
    </row>
    <row r="41" customFormat="false" ht="19.5" hidden="false" customHeight="true" outlineLevel="0" collapsed="false">
      <c r="B41" s="2"/>
      <c r="C41" s="11" t="s">
        <v>104</v>
      </c>
      <c r="D41" s="11"/>
      <c r="E41" s="11"/>
      <c r="F41" s="12" t="n">
        <f aca="false">COUNTA($E$9:$E$35)-COUNTA($G$9:$G$35)</f>
        <v>0</v>
      </c>
      <c r="G41" s="4"/>
      <c r="H41" s="4"/>
      <c r="I41" s="4"/>
    </row>
    <row r="42" customFormat="false" ht="19.5" hidden="false" customHeight="true" outlineLevel="0" collapsed="false">
      <c r="B42" s="2"/>
      <c r="C42" s="11" t="s">
        <v>105</v>
      </c>
      <c r="D42" s="11"/>
      <c r="E42" s="11"/>
      <c r="F42" s="12" t="n">
        <f aca="false">COUNTA($E$9:$E$35)</f>
        <v>27</v>
      </c>
      <c r="G42" s="4"/>
      <c r="H42" s="4"/>
      <c r="I42" s="4"/>
    </row>
    <row r="43" customFormat="false" ht="7.5" hidden="false" customHeight="true" outlineLevel="0" collapsed="false"/>
    <row r="44" customFormat="false" ht="21.75" hidden="false" customHeight="true" outlineLevel="0" collapsed="false">
      <c r="B44" s="13" t="s">
        <v>106</v>
      </c>
      <c r="C44" s="13"/>
      <c r="D44" s="13"/>
      <c r="E44" s="13"/>
      <c r="F44" s="13"/>
      <c r="G44" s="13"/>
      <c r="H44" s="13"/>
      <c r="I44" s="13"/>
    </row>
    <row r="45" customFormat="false" ht="42" hidden="false" customHeight="true" outlineLevel="0" collapsed="false">
      <c r="B45" s="11" t="s">
        <v>107</v>
      </c>
      <c r="C45" s="14"/>
      <c r="D45" s="14"/>
      <c r="E45" s="14"/>
      <c r="F45" s="14"/>
      <c r="G45" s="14"/>
      <c r="H45" s="14"/>
      <c r="I45" s="14"/>
    </row>
    <row r="46" customFormat="false" ht="42" hidden="false" customHeight="true" outlineLevel="0" collapsed="false">
      <c r="B46" s="11" t="s">
        <v>108</v>
      </c>
      <c r="C46" s="14"/>
      <c r="D46" s="14"/>
      <c r="E46" s="14"/>
      <c r="F46" s="14"/>
      <c r="G46" s="14"/>
      <c r="H46" s="14"/>
      <c r="I46" s="14"/>
    </row>
  </sheetData>
  <mergeCells count="25">
    <mergeCell ref="B2:I2"/>
    <mergeCell ref="C3:E3"/>
    <mergeCell ref="F3:I6"/>
    <mergeCell ref="C4:E4"/>
    <mergeCell ref="C5:E5"/>
    <mergeCell ref="C6:E6"/>
    <mergeCell ref="B7:I7"/>
    <mergeCell ref="B9:B10"/>
    <mergeCell ref="B11:B13"/>
    <mergeCell ref="B14:B17"/>
    <mergeCell ref="B18:B22"/>
    <mergeCell ref="B23:B27"/>
    <mergeCell ref="B28:B32"/>
    <mergeCell ref="B33:B35"/>
    <mergeCell ref="B37:B42"/>
    <mergeCell ref="C37:E37"/>
    <mergeCell ref="G37:I42"/>
    <mergeCell ref="C38:E38"/>
    <mergeCell ref="C39:E39"/>
    <mergeCell ref="C40:E40"/>
    <mergeCell ref="C41:E41"/>
    <mergeCell ref="C42:E42"/>
    <mergeCell ref="B44:I44"/>
    <mergeCell ref="C45:I45"/>
    <mergeCell ref="C46:I46"/>
  </mergeCells>
  <conditionalFormatting sqref="G9:G35">
    <cfRule type="cellIs" priority="2" operator="equal" aboveAverage="0" equalAverage="0" bottom="0" percent="0" rank="0" text="" dxfId="0">
      <formula>"통과"</formula>
    </cfRule>
    <cfRule type="cellIs" priority="3" operator="equal" aboveAverage="0" equalAverage="0" bottom="0" percent="0" rank="0" text="" dxfId="1">
      <formula>"실패"</formula>
    </cfRule>
    <cfRule type="cellIs" priority="4" operator="equal" aboveAverage="0" equalAverage="0" bottom="0" percent="0" rank="0" text="" dxfId="2">
      <formula>"미확인"</formula>
    </cfRule>
    <cfRule type="cellIs" priority="5" operator="equal" aboveAverage="0" equalAverage="0" bottom="0" percent="0" rank="0" text="" dxfId="3">
      <formula>"해당없음"</formula>
    </cfRule>
  </conditionalFormatting>
  <dataValidations count="2">
    <dataValidation allowBlank="true" errorStyle="stop" operator="between" showDropDown="false" showErrorMessage="false" showInputMessage="false" sqref="C3" type="list">
      <formula1>"셀프,상호"</formula1>
      <formula2>0</formula2>
    </dataValidation>
    <dataValidation allowBlank="true" error="통과 / 실패 / 미확인 / 해당없음 중에서 선택하세요." errorStyle="stop" errorTitle="결과 선택" operator="between" showDropDown="false" showErrorMessage="true" showInputMessage="false" sqref="G9:G35" type="list">
      <formula1>"통과,실패,미확인,해당없음"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&amp;C&amp;8 &amp;P / &amp;N 쪽 · 확인하지 않은 것을 통과로 적지 않습니다.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B2:H1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6"/>
    <col collapsed="false" customWidth="true" hidden="false" outlineLevel="0" max="4" min="4" style="0" width="14"/>
    <col collapsed="false" customWidth="true" hidden="false" outlineLevel="0" max="5" min="5" style="0" width="4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40"/>
  </cols>
  <sheetData>
    <row r="2" customFormat="false" ht="30" hidden="false" customHeight="true" outlineLevel="0" collapsed="false">
      <c r="B2" s="15" t="s">
        <v>109</v>
      </c>
      <c r="C2" s="15"/>
      <c r="D2" s="15"/>
      <c r="E2" s="15"/>
      <c r="F2" s="15"/>
      <c r="G2" s="15"/>
      <c r="H2" s="15"/>
    </row>
    <row r="4" customFormat="false" ht="45.75" hidden="false" customHeight="true" outlineLevel="0" collapsed="false">
      <c r="B4" s="16" t="s">
        <v>110</v>
      </c>
      <c r="C4" s="17" t="s">
        <v>111</v>
      </c>
      <c r="D4" s="17"/>
      <c r="E4" s="17"/>
      <c r="F4" s="17"/>
      <c r="G4" s="17"/>
      <c r="H4" s="17"/>
    </row>
    <row r="5" customFormat="false" ht="45.75" hidden="false" customHeight="true" outlineLevel="0" collapsed="false">
      <c r="B5" s="16" t="s">
        <v>112</v>
      </c>
      <c r="C5" s="17" t="s">
        <v>113</v>
      </c>
      <c r="D5" s="17"/>
      <c r="E5" s="17"/>
      <c r="F5" s="17"/>
      <c r="G5" s="17"/>
      <c r="H5" s="17"/>
    </row>
    <row r="6" customFormat="false" ht="81.75" hidden="false" customHeight="true" outlineLevel="0" collapsed="false">
      <c r="B6" s="16" t="s">
        <v>12</v>
      </c>
      <c r="C6" s="17" t="s">
        <v>114</v>
      </c>
      <c r="D6" s="17"/>
      <c r="E6" s="17"/>
      <c r="F6" s="17"/>
      <c r="G6" s="17"/>
      <c r="H6" s="17"/>
    </row>
    <row r="7" customFormat="false" ht="45.75" hidden="false" customHeight="true" outlineLevel="0" collapsed="false">
      <c r="B7" s="16" t="s">
        <v>115</v>
      </c>
      <c r="C7" s="17" t="s">
        <v>116</v>
      </c>
      <c r="D7" s="17"/>
      <c r="E7" s="17"/>
      <c r="F7" s="17"/>
      <c r="G7" s="17"/>
      <c r="H7" s="17"/>
    </row>
    <row r="8" customFormat="false" ht="27.75" hidden="false" customHeight="true" outlineLevel="0" collapsed="false">
      <c r="B8" s="16" t="s">
        <v>98</v>
      </c>
      <c r="C8" s="17" t="s">
        <v>117</v>
      </c>
      <c r="D8" s="17"/>
      <c r="E8" s="17"/>
      <c r="F8" s="17"/>
      <c r="G8" s="17"/>
      <c r="H8" s="17"/>
    </row>
    <row r="9" customFormat="false" ht="45.75" hidden="false" customHeight="true" outlineLevel="0" collapsed="false">
      <c r="B9" s="16" t="s">
        <v>118</v>
      </c>
      <c r="C9" s="17" t="s">
        <v>119</v>
      </c>
      <c r="D9" s="17"/>
      <c r="E9" s="17"/>
      <c r="F9" s="17"/>
      <c r="G9" s="17"/>
      <c r="H9" s="17"/>
    </row>
    <row r="10" customFormat="false" ht="27.75" hidden="false" customHeight="true" outlineLevel="0" collapsed="false">
      <c r="B10" s="16" t="s">
        <v>120</v>
      </c>
      <c r="C10" s="18" t="s">
        <v>121</v>
      </c>
      <c r="D10" s="18"/>
      <c r="E10" s="18"/>
      <c r="F10" s="18"/>
      <c r="G10" s="18"/>
      <c r="H10" s="18"/>
    </row>
    <row r="12" customFormat="false" ht="15" hidden="false" customHeight="true" outlineLevel="0" collapsed="false">
      <c r="B12" s="19" t="s">
        <v>122</v>
      </c>
      <c r="C12" s="19"/>
      <c r="D12" s="19"/>
      <c r="E12" s="19"/>
      <c r="F12" s="19"/>
      <c r="G12" s="19"/>
      <c r="H12" s="19"/>
    </row>
    <row r="13" customFormat="false" ht="15" hidden="false" customHeight="false" outlineLevel="0" collapsed="false">
      <c r="B13" s="20" t="s">
        <v>7</v>
      </c>
      <c r="C13" s="20" t="s">
        <v>8</v>
      </c>
      <c r="D13" s="20" t="s">
        <v>9</v>
      </c>
      <c r="E13" s="20" t="s">
        <v>10</v>
      </c>
      <c r="F13" s="20" t="s">
        <v>12</v>
      </c>
      <c r="G13" s="20" t="s">
        <v>123</v>
      </c>
      <c r="H13" s="20" t="s">
        <v>124</v>
      </c>
    </row>
    <row r="14" customFormat="false" ht="45.75" hidden="false" customHeight="true" outlineLevel="0" collapsed="false">
      <c r="B14" s="4" t="s">
        <v>22</v>
      </c>
      <c r="C14" s="21" t="n">
        <v>4</v>
      </c>
      <c r="D14" s="22" t="s">
        <v>26</v>
      </c>
      <c r="E14" s="4" t="s">
        <v>27</v>
      </c>
      <c r="F14" s="23" t="s">
        <v>99</v>
      </c>
      <c r="G14" s="22" t="s">
        <v>125</v>
      </c>
      <c r="H14" s="4"/>
    </row>
    <row r="15" customFormat="false" ht="45.75" hidden="false" customHeight="true" outlineLevel="0" collapsed="false">
      <c r="B15" s="4" t="s">
        <v>32</v>
      </c>
      <c r="C15" s="21" t="n">
        <v>9</v>
      </c>
      <c r="D15" s="22" t="s">
        <v>42</v>
      </c>
      <c r="E15" s="4" t="s">
        <v>126</v>
      </c>
      <c r="F15" s="24" t="s">
        <v>101</v>
      </c>
      <c r="G15" s="22" t="s">
        <v>127</v>
      </c>
      <c r="H15" s="4" t="s">
        <v>128</v>
      </c>
    </row>
    <row r="16" customFormat="false" ht="45.75" hidden="false" customHeight="true" outlineLevel="0" collapsed="false">
      <c r="B16" s="4" t="s">
        <v>129</v>
      </c>
      <c r="C16" s="21" t="n">
        <v>16</v>
      </c>
      <c r="D16" s="22" t="s">
        <v>64</v>
      </c>
      <c r="E16" s="4" t="s">
        <v>130</v>
      </c>
      <c r="F16" s="25" t="s">
        <v>103</v>
      </c>
      <c r="G16" s="4"/>
      <c r="H16" s="22" t="s">
        <v>131</v>
      </c>
    </row>
    <row r="17" customFormat="false" ht="45.75" hidden="false" customHeight="true" outlineLevel="0" collapsed="false">
      <c r="B17" s="4" t="s">
        <v>75</v>
      </c>
      <c r="C17" s="21" t="n">
        <v>20</v>
      </c>
      <c r="D17" s="22" t="s">
        <v>76</v>
      </c>
      <c r="E17" s="4" t="s">
        <v>77</v>
      </c>
      <c r="F17" s="26" t="s">
        <v>102</v>
      </c>
      <c r="G17" s="4"/>
      <c r="H17" s="22" t="s">
        <v>132</v>
      </c>
    </row>
  </sheetData>
  <mergeCells count="9">
    <mergeCell ref="B2:H2"/>
    <mergeCell ref="C4:H4"/>
    <mergeCell ref="C5:H5"/>
    <mergeCell ref="C6:H6"/>
    <mergeCell ref="C7:H7"/>
    <mergeCell ref="C8:H8"/>
    <mergeCell ref="C9:H9"/>
    <mergeCell ref="C10:H10"/>
    <mergeCell ref="B12:H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2026-08-25T11:58:43Z</dcterms:created>
  <dc:creator>openpyxl</dc:creator>
  <dc:description/>
  <dc:language>en-US</dc:language>
  <cp:lastModifiedBy>처음처럼 늘</cp:lastModifiedBy>
  <dcterms:modified xsi:type="dcterms:W3CDTF">2026-10-18T09:09:01Z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