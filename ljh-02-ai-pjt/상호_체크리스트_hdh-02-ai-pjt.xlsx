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streamlit_lab\submission\checklists\"/>
    </mc:Choice>
  </mc:AlternateContent>
  <xr:revisionPtr revIDLastSave="0" documentId="13_ncr:1_{B4317687-EBB0-4E7F-97FF-C2B8FC8D37FA}" xr6:coauthVersionLast="47" xr6:coauthVersionMax="47" xr10:uidLastSave="{00000000-0000-0000-0000-000000000000}"/>
  <bookViews>
    <workbookView xWindow="5910" yWindow="4170" windowWidth="28800" windowHeight="15345" tabRatio="500" xr2:uid="{00000000-000D-0000-FFFF-FFFF00000000}"/>
  </bookViews>
  <sheets>
    <sheet name="체크리스트" sheetId="1" r:id="rId1"/>
    <sheet name="작성 안내" sheetId="2" r:id="rId2"/>
    <sheet name="점검 근거" sheetId="3" r:id="rId3"/>
  </sheets>
  <definedNames>
    <definedName name="_xlnm.Print_Area" localSheetId="0">체크리스트!$B$2:$I$46</definedName>
    <definedName name="_xlnm.Print_Titles" localSheetId="0">체크리스트!$8:$8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ns0:ext xmlns:ns0="http://schemas.openxmlformats.org/spreadsheetml/2006/main" xmlns:ns2="http://schemas.libreoffice.org/" uri="{7626C862-2A13-11E5-B345-FEFF819CDC9F}">
      <ns2:extCalcPr stringRefSyntax="ExcelA1"/>
    </ns0: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</calcChain>
</file>

<file path=xl/sharedStrings.xml><?xml version="1.0" encoding="utf-8"?>
<sst xmlns="http://schemas.openxmlformats.org/spreadsheetml/2006/main" count="402" uniqueCount="288">
  <si>
    <r>
      <rPr>
        <b/>
        <sz val="14"/>
        <rFont val="맑은 고딕"/>
        <family val="3"/>
        <charset val="129"/>
      </rPr>
      <t xml:space="preserve">[SSAFY] AI </t>
    </r>
    <r>
      <rPr>
        <b/>
        <sz val="14"/>
        <rFont val="Noto Sans CJK SC"/>
        <family val="2"/>
      </rPr>
      <t xml:space="preserve">코어 프로젝트 </t>
    </r>
    <r>
      <rPr>
        <b/>
        <sz val="14"/>
        <rFont val="맑은 고딕"/>
        <family val="3"/>
        <charset val="129"/>
      </rPr>
      <t>2</t>
    </r>
    <r>
      <rPr>
        <b/>
        <sz val="14"/>
        <rFont val="Noto Sans CJK SC"/>
        <family val="2"/>
      </rPr>
      <t xml:space="preserve">회차 — 셀프 </t>
    </r>
    <r>
      <rPr>
        <b/>
        <sz val="14"/>
        <rFont val="맑은 고딕"/>
        <family val="3"/>
        <charset val="129"/>
      </rPr>
      <t xml:space="preserve">· </t>
    </r>
    <r>
      <rPr>
        <b/>
        <sz val="14"/>
        <rFont val="Noto Sans CJK SC"/>
        <family val="2"/>
      </rPr>
      <t>상호 체크리스트</t>
    </r>
  </si>
  <si>
    <t>점검 유형</t>
  </si>
  <si>
    <r>
      <rPr>
        <sz val="10"/>
        <rFont val="Noto Sans CJK SC"/>
        <family val="2"/>
      </rPr>
      <t xml:space="preserve">결과 기입 기준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통과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직접 실행해 기대한 결과를 확인함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증명이 필요한 항목은 증빙 첨부</t>
    </r>
    <r>
      <rPr>
        <sz val="10"/>
        <rFont val="맑은 고딕"/>
        <family val="3"/>
        <charset val="129"/>
      </rPr>
      <t xml:space="preserve">)
· </t>
    </r>
    <r>
      <rPr>
        <sz val="10"/>
        <rFont val="Noto Sans CJK SC"/>
        <family val="2"/>
      </rPr>
      <t>실패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실행했으나 기대와 다름 → 비고에 사유와 조치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미확인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실행하지 못함 → 비고에 사유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해당없음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선택하지 않은 심화 항목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해당하지 않는 도메인 항목
※ 확인하지 않은 것을 통과로 적지 않습니다</t>
    </r>
    <r>
      <rPr>
        <sz val="10"/>
        <rFont val="맑은 고딕"/>
        <family val="3"/>
        <charset val="129"/>
      </rPr>
      <t>.</t>
    </r>
  </si>
  <si>
    <t>앱 작성자</t>
  </si>
  <si>
    <t>점검자</t>
  </si>
  <si>
    <t>점검 일시</t>
  </si>
  <si>
    <r>
      <rPr>
        <sz val="9"/>
        <color rgb="FF595959"/>
        <rFont val="Noto Sans CJK SC"/>
        <family val="2"/>
      </rPr>
      <t>연한 노란 칸만 입력합니다</t>
    </r>
    <r>
      <rPr>
        <sz val="9"/>
        <color rgb="FF595959"/>
        <rFont val="맑은 고딕"/>
        <family val="3"/>
        <charset val="129"/>
      </rPr>
      <t xml:space="preserve">.  </t>
    </r>
    <r>
      <rPr>
        <sz val="9"/>
        <color rgb="FF595959"/>
        <rFont val="Noto Sans CJK SC"/>
        <family val="2"/>
      </rPr>
      <t>결과</t>
    </r>
    <r>
      <rPr>
        <sz val="9"/>
        <color rgb="FF595959"/>
        <rFont val="맑은 고딕"/>
        <family val="3"/>
        <charset val="129"/>
      </rPr>
      <t>(G</t>
    </r>
    <r>
      <rPr>
        <sz val="9"/>
        <color rgb="FF595959"/>
        <rFont val="Noto Sans CJK SC"/>
        <family val="2"/>
      </rPr>
      <t>열</t>
    </r>
    <r>
      <rPr>
        <sz val="9"/>
        <color rgb="FF595959"/>
        <rFont val="맑은 고딕"/>
        <family val="3"/>
        <charset val="129"/>
      </rPr>
      <t>)</t>
    </r>
    <r>
      <rPr>
        <sz val="9"/>
        <color rgb="FF595959"/>
        <rFont val="Noto Sans CJK SC"/>
        <family val="2"/>
      </rPr>
      <t xml:space="preserve">는 목록에서 고릅니다 — 통과 </t>
    </r>
    <r>
      <rPr>
        <sz val="9"/>
        <color rgb="FF595959"/>
        <rFont val="맑은 고딕"/>
        <family val="3"/>
        <charset val="129"/>
      </rPr>
      <t xml:space="preserve">· </t>
    </r>
    <r>
      <rPr>
        <sz val="9"/>
        <color rgb="FF595959"/>
        <rFont val="Noto Sans CJK SC"/>
        <family val="2"/>
      </rPr>
      <t xml:space="preserve">실패 </t>
    </r>
    <r>
      <rPr>
        <sz val="9"/>
        <color rgb="FF595959"/>
        <rFont val="맑은 고딕"/>
        <family val="3"/>
        <charset val="129"/>
      </rPr>
      <t xml:space="preserve">· </t>
    </r>
    <r>
      <rPr>
        <sz val="9"/>
        <color rgb="FF595959"/>
        <rFont val="Noto Sans CJK SC"/>
        <family val="2"/>
      </rPr>
      <t xml:space="preserve">미확인 </t>
    </r>
    <r>
      <rPr>
        <sz val="9"/>
        <color rgb="FF595959"/>
        <rFont val="맑은 고딕"/>
        <family val="3"/>
        <charset val="129"/>
      </rPr>
      <t xml:space="preserve">· </t>
    </r>
    <r>
      <rPr>
        <sz val="9"/>
        <color rgb="FF595959"/>
        <rFont val="Noto Sans CJK SC"/>
        <family val="2"/>
      </rPr>
      <t>해당없음</t>
    </r>
  </si>
  <si>
    <t>영역</t>
  </si>
  <si>
    <t>번호</t>
  </si>
  <si>
    <t>요구사항</t>
  </si>
  <si>
    <t>확인 항목</t>
  </si>
  <si>
    <t>확인 방법</t>
  </si>
  <si>
    <t>결과</t>
  </si>
  <si>
    <r>
      <rPr>
        <b/>
        <sz val="11"/>
        <rFont val="Noto Sans CJK SC"/>
        <family val="2"/>
      </rPr>
      <t xml:space="preserve">증빙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 xml:space="preserve">캡처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>파일명</t>
    </r>
    <r>
      <rPr>
        <b/>
        <sz val="11"/>
        <rFont val="맑은 고딕"/>
        <family val="3"/>
        <charset val="129"/>
      </rPr>
      <t>)</t>
    </r>
  </si>
  <si>
    <r>
      <rPr>
        <b/>
        <sz val="11"/>
        <rFont val="Noto Sans CJK SC"/>
        <family val="2"/>
      </rPr>
      <t xml:space="preserve">비고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 xml:space="preserve">실패 </t>
    </r>
    <r>
      <rPr>
        <b/>
        <sz val="11"/>
        <rFont val="맑은 고딕"/>
        <family val="3"/>
        <charset val="129"/>
      </rPr>
      <t xml:space="preserve">· </t>
    </r>
    <r>
      <rPr>
        <b/>
        <sz val="11"/>
        <rFont val="Noto Sans CJK SC"/>
        <family val="2"/>
      </rPr>
      <t>미확인 사유</t>
    </r>
    <r>
      <rPr>
        <b/>
        <sz val="11"/>
        <rFont val="맑은 고딕"/>
        <family val="3"/>
        <charset val="129"/>
      </rPr>
      <t>)</t>
    </r>
  </si>
  <si>
    <t>데이터와 색인</t>
  </si>
  <si>
    <t>F2001</t>
  </si>
  <si>
    <r>
      <rPr>
        <sz val="10"/>
        <rFont val="Noto Sans CJK SC"/>
        <family val="2"/>
      </rPr>
      <t>로드한 항목 수와 색인된 청크 수가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건의 색인 텍스트에 의도한 속성이 모두 들어 있다</t>
    </r>
  </si>
  <si>
    <r>
      <rPr>
        <sz val="10"/>
        <rFont val="Noto Sans CJK SC"/>
        <family val="2"/>
      </rPr>
      <t>로드 건수와 컬렉션 건수를 출력해 비교하고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건의 색인 텍스트 확인</t>
    </r>
  </si>
  <si>
    <t>F2002</t>
  </si>
  <si>
    <t>색인 작업을 두 번 실행해도 청크 수가 늘지 않는다</t>
  </si>
  <si>
    <t>스크립트를 두 번 실행하고 전후 청크 수 비교</t>
  </si>
  <si>
    <t>문서 수집과 색인</t>
  </si>
  <si>
    <t>F2003 · F2004</t>
  </si>
  <si>
    <r>
      <rPr>
        <sz val="10"/>
        <rFont val="Noto Sans CJK SC"/>
        <family val="2"/>
      </rPr>
      <t>검색어 추출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>1)</t>
    </r>
    <r>
      <rPr>
        <sz val="10"/>
        <rFont val="Noto Sans CJK SC"/>
        <family val="2"/>
      </rPr>
      <t>이 뽑은 검색어 목록이 확인되고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후보 선별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>2)</t>
    </r>
    <r>
      <rPr>
        <sz val="10"/>
        <rFont val="Noto Sans CJK SC"/>
        <family val="2"/>
      </rPr>
      <t>에 따라 색인된 문서와 버려진 문서가 구분된다</t>
    </r>
  </si>
  <si>
    <r>
      <rPr>
        <sz val="10"/>
        <rFont val="Noto Sans CJK SC"/>
        <family val="2"/>
      </rPr>
      <t xml:space="preserve">질문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개를 실행하고 검색어 목록과 선별 결과를 나란히 출력</t>
    </r>
  </si>
  <si>
    <t>F2004 · NF2002</t>
  </si>
  <si>
    <t>같은 질문을 다시 물었을 때 수집이 다시 일어나지 않는다</t>
  </si>
  <si>
    <t>같은 질문을 두 번 실행해 수집 로그와 처리 시간 비교</t>
  </si>
  <si>
    <t>F2005</t>
  </si>
  <si>
    <t>청크 크기 또는 중복 길이를 설정에서 바꿔 색인하면 청크 수가 달라진다</t>
  </si>
  <si>
    <t>설정값을 바꿔 재색인하고 청크 수 비교</t>
  </si>
  <si>
    <t>답변과 근거</t>
  </si>
  <si>
    <t>F2006</t>
  </si>
  <si>
    <r>
      <rPr>
        <sz val="10"/>
        <rFont val="Noto Sans CJK SC"/>
        <family val="2"/>
      </rPr>
      <t>검색할 근거 수</t>
    </r>
    <r>
      <rPr>
        <sz val="10"/>
        <rFont val="맑은 고딕"/>
        <family val="3"/>
        <charset val="129"/>
      </rPr>
      <t>(Top-k)</t>
    </r>
    <r>
      <rPr>
        <sz val="10"/>
        <rFont val="Noto Sans CJK SC"/>
        <family val="2"/>
      </rPr>
      <t>를 설정에서 바꾸면 같은 질문의 근거 목록이 달라진다</t>
    </r>
  </si>
  <si>
    <r>
      <rPr>
        <sz val="10"/>
        <rFont val="맑은 고딕"/>
        <family val="3"/>
        <charset val="129"/>
      </rPr>
      <t xml:space="preserve">Top-k </t>
    </r>
    <r>
      <rPr>
        <sz val="10"/>
        <rFont val="Noto Sans CJK SC"/>
        <family val="2"/>
      </rPr>
      <t>값을 바꿔 같은 질문을 실행하고 근거 목록 비교</t>
    </r>
  </si>
  <si>
    <t>F2007</t>
  </si>
  <si>
    <r>
      <rPr>
        <sz val="10"/>
        <rFont val="맑은 고딕"/>
        <family val="3"/>
        <charset val="129"/>
      </rPr>
      <t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generate </t>
    </r>
    <r>
      <rPr>
        <sz val="10"/>
        <rFont val="Noto Sans CJK SC"/>
        <family val="2"/>
      </rPr>
      <t>두 노드로 구성되어 있다</t>
    </r>
  </si>
  <si>
    <t>그래프 구조 출력 또는 코드 캡처</t>
  </si>
  <si>
    <t>F2008</t>
  </si>
  <si>
    <r>
      <rPr>
        <sz val="10"/>
        <rFont val="Noto Sans CJK SC"/>
        <family val="2"/>
      </rPr>
      <t>답변 본문의 근거 번호와 화면의 근거 목록이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항목 메타데이터와 외부 문서가 구분되어 표시된다</t>
    </r>
  </si>
  <si>
    <t>답변을 생성해 번호와 목록을 대조</t>
  </si>
  <si>
    <t>F2007 · F2008</t>
  </si>
  <si>
    <r>
      <rPr>
        <sz val="10"/>
        <rFont val="Noto Sans CJK SC"/>
        <family val="2"/>
      </rPr>
      <t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인용된 근거가 없으면 그 사실이 화면에 안내된다</t>
    </r>
  </si>
  <si>
    <t>색인에 없는 내용을 질문해 답변과 안내 확인</t>
  </si>
  <si>
    <t>서비스 기능과 화면</t>
  </si>
  <si>
    <t>F2009</t>
  </si>
  <si>
    <t>항목을 바꿨을 때 이전 대화가 섞이지 않는다</t>
  </si>
  <si>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>A</t>
    </r>
    <r>
      <rPr>
        <sz val="10"/>
        <rFont val="Noto Sans CJK SC"/>
        <family val="2"/>
      </rPr>
      <t xml:space="preserve">에서 대화 후 항목 </t>
    </r>
    <r>
      <rPr>
        <sz val="10"/>
        <rFont val="맑은 고딕"/>
        <family val="3"/>
        <charset val="129"/>
      </rPr>
      <t>B</t>
    </r>
    <r>
      <rPr>
        <sz val="10"/>
        <rFont val="Noto Sans CJK SC"/>
        <family val="2"/>
      </rPr>
      <t>로 바꿔 질문</t>
    </r>
  </si>
  <si>
    <t>F2011</t>
  </si>
  <si>
    <t>조건 기반 탐색 결과에 조건과 맞지 않는 항목이 섞이지 않는다</t>
  </si>
  <si>
    <t>조건을 입력해 결과 항목을 하나씩 대조</t>
  </si>
  <si>
    <t>F2010</t>
  </si>
  <si>
    <t>도메인 특화 기능의 결과에도 근거가 함께 제시된다</t>
  </si>
  <si>
    <t>특화 기능을 실행해 근거 표시 확인</t>
  </si>
  <si>
    <t>F2012</t>
  </si>
  <si>
    <r>
      <rPr>
        <sz val="10"/>
        <rFont val="Noto Sans CJK SC"/>
        <family val="2"/>
      </rPr>
      <t>처리 중 진행 상태가 표시되고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색인이 없을 때와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키가 없을 때 각각 안내가 표시된다</t>
    </r>
  </si>
  <si>
    <r>
      <rPr>
        <sz val="10"/>
        <rFont val="Noto Sans CJK SC"/>
        <family val="2"/>
      </rPr>
      <t>첫 질문 실행 중 화면 확인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색인 삭제 후 실행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키를 비우고 실행</t>
    </r>
  </si>
  <si>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해당 도메인만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금융처럼 판단이 위험한 도메인이면 전문가 조언을 대신하지 않는다는 안내가 표시된다</t>
    </r>
  </si>
  <si>
    <t>답변 화면에서 면책 안내 확인</t>
  </si>
  <si>
    <r>
      <rPr>
        <b/>
        <sz val="11"/>
        <rFont val="Noto Sans CJK SC"/>
        <family val="2"/>
      </rPr>
      <t xml:space="preserve">심화 기능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선택한 것만</t>
    </r>
    <r>
      <rPr>
        <b/>
        <sz val="11"/>
        <rFont val="맑은 고딕"/>
        <family val="3"/>
        <charset val="129"/>
      </rPr>
      <t>)</t>
    </r>
  </si>
  <si>
    <t>F2013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</si>
  <si>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3"/>
        <charset val="129"/>
      </rPr>
      <t>HTML · CSS · JavaScript</t>
    </r>
    <r>
      <rPr>
        <sz val="10"/>
        <rFont val="Noto Sans CJK SC"/>
        <family val="2"/>
      </rPr>
      <t xml:space="preserve">로 동작하고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근거가 모두 표시된다</t>
    </r>
  </si>
  <si>
    <r>
      <rPr>
        <sz val="10"/>
        <rFont val="Noto Sans CJK SC"/>
        <family val="2"/>
      </rPr>
      <t xml:space="preserve">화면 실행 후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근거 표시 확인</t>
    </r>
  </si>
  <si>
    <t>F2014</t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</si>
  <si>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>검색을 각각 적용했을 때 근거 목록이 어떻게 달라지는지 확인된다</t>
    </r>
  </si>
  <si>
    <t>두 검색 방식의 근거 목록을 나란히 비교</t>
  </si>
  <si>
    <t>F2015</t>
  </si>
  <si>
    <r>
      <rPr>
        <sz val="10"/>
        <rFont val="Noto Sans CJK SC"/>
        <family val="2"/>
      </rPr>
      <t xml:space="preserve">대표 질문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개 이상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근거 없이 답하면 틀리기 쉬운 질문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 xml:space="preserve">없이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근거를 붙여 각각 답하게 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사실 정확성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제시 여부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모르는 것을 모른다고 답하는지를 비교해 기록했다</t>
    </r>
  </si>
  <si>
    <t>비교 기록 확인</t>
  </si>
  <si>
    <t>비교 결과를 문서로 작성해 제출물에 포함했다</t>
  </si>
  <si>
    <t>제출물 폴더 확인</t>
  </si>
  <si>
    <t>F2016</t>
  </si>
  <si>
    <t>근거 목록에 출처의 종류가 구분되어 표시된다</t>
  </si>
  <si>
    <t>근거 목록 화면 확인</t>
  </si>
  <si>
    <t>비기능 요구사항</t>
  </si>
  <si>
    <t>NF2001</t>
  </si>
  <si>
    <t>대표 질문의 전체 처리 시간이 사용에 지장이 없다</t>
  </si>
  <si>
    <t>첫 질문과 두 번째 질문의 처리 시간을 나눠 측정</t>
  </si>
  <si>
    <t>NF2003 · NF2004</t>
  </si>
  <si>
    <r>
      <rPr>
        <sz val="10"/>
        <rFont val="Noto Sans CJK SC"/>
        <family val="2"/>
      </rPr>
      <t xml:space="preserve">소스코드와 제출물에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키가 남아 있지 않고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화면에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프롬프트 전문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오류 추적 정보가 노출되지 않는다</t>
    </r>
  </si>
  <si>
    <r>
      <rPr>
        <sz val="10"/>
        <rFont val="Noto Sans CJK SC"/>
        <family val="2"/>
      </rPr>
      <t>저장소 전체에서 키 문자열 검색</t>
    </r>
    <r>
      <rPr>
        <sz val="10"/>
        <rFont val="맑은 고딕"/>
        <family val="3"/>
        <charset val="129"/>
      </rPr>
      <t xml:space="preserve">(.env </t>
    </r>
    <r>
      <rPr>
        <sz val="10"/>
        <rFont val="Noto Sans CJK SC"/>
        <family val="2"/>
      </rPr>
      <t>제외 여부 확인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>오류 상황을 일부러 만들어 화면 확인</t>
    </r>
  </si>
  <si>
    <t>NF2005</t>
  </si>
  <si>
    <r>
      <rPr>
        <sz val="10"/>
        <rFont val="Noto Sans CJK SC"/>
        <family val="2"/>
      </rPr>
      <t xml:space="preserve">수집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생성 </t>
    </r>
    <r>
      <rPr>
        <sz val="10"/>
        <rFont val="맑은 고딕"/>
        <family val="3"/>
        <charset val="129"/>
      </rPr>
      <t>· UI</t>
    </r>
    <r>
      <rPr>
        <sz val="10"/>
        <rFont val="Noto Sans CJK SC"/>
        <family val="2"/>
      </rPr>
      <t>가 모듈로 분리되어 있다</t>
    </r>
  </si>
  <si>
    <t>파일 구성 확인</t>
  </si>
  <si>
    <t>NF2006</t>
  </si>
  <si>
    <r>
      <rPr>
        <sz val="10"/>
        <rFont val="Noto Sans CJK SC"/>
        <family val="2"/>
      </rPr>
      <t xml:space="preserve">외부 호출의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호출 간격과 출처가 요구하는 식별 정보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위키백과 </t>
    </r>
    <r>
      <rPr>
        <sz val="10"/>
        <rFont val="맑은 고딕"/>
        <family val="3"/>
        <charset val="129"/>
      </rPr>
      <t xml:space="preserve">User-Agent </t>
    </r>
    <r>
      <rPr>
        <sz val="10"/>
        <rFont val="Noto Sans CJK SC"/>
        <family val="2"/>
      </rPr>
      <t>연락처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를 지켰다</t>
    </r>
  </si>
  <si>
    <r>
      <rPr>
        <sz val="10"/>
        <rFont val="Noto Sans CJK SC"/>
        <family val="2"/>
      </rPr>
      <t xml:space="preserve">호출 코드의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간격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헤더 확인</t>
    </r>
  </si>
  <si>
    <t>NF2007</t>
  </si>
  <si>
    <r>
      <rPr>
        <sz val="10"/>
        <rFont val="Noto Sans CJK SC"/>
        <family val="2"/>
      </rPr>
      <t xml:space="preserve">사용한 데이터와 문서의 출처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이용 조건을 기록했다</t>
    </r>
  </si>
  <si>
    <r>
      <rPr>
        <sz val="10"/>
        <rFont val="맑은 고딕"/>
        <family val="3"/>
        <charset val="129"/>
      </rPr>
      <t xml:space="preserve">README </t>
    </r>
    <r>
      <rPr>
        <sz val="10"/>
        <rFont val="Noto Sans CJK SC"/>
        <family val="2"/>
      </rPr>
      <t>확인</t>
    </r>
  </si>
  <si>
    <t>제출 전 점검</t>
  </si>
  <si>
    <t>필수</t>
  </si>
  <si>
    <r>
      <rPr>
        <sz val="10"/>
        <rFont val="Noto Sans CJK SC"/>
        <family val="2"/>
      </rPr>
      <t xml:space="preserve">필수 기능 </t>
    </r>
    <r>
      <rPr>
        <sz val="10"/>
        <rFont val="맑은 고딕"/>
        <family val="3"/>
        <charset val="129"/>
      </rPr>
      <t>F2001 ~ F2012</t>
    </r>
    <r>
      <rPr>
        <sz val="10"/>
        <rFont val="Noto Sans CJK SC"/>
        <family val="2"/>
      </rPr>
      <t>가 모두 동작하고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선택한 심화 기능은 필수 기능의 결과와 비교되어 있다</t>
    </r>
  </si>
  <si>
    <r>
      <rPr>
        <sz val="10"/>
        <rFont val="Noto Sans CJK SC"/>
        <family val="2"/>
      </rPr>
      <t>위 항목의 결과 종합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비교 기록 확인</t>
    </r>
  </si>
  <si>
    <t>증명을 위한 스크린샷 항목을 모두 첨부했다</t>
  </si>
  <si>
    <t>증빙 칸과 첨부 파일 대조</t>
  </si>
  <si>
    <r>
      <rPr>
        <sz val="10"/>
        <rFont val="Noto Sans CJK SC"/>
        <family val="2"/>
      </rPr>
      <t xml:space="preserve">요구사항 정의서 </t>
    </r>
    <r>
      <rPr>
        <sz val="10"/>
        <rFont val="맑은 고딕"/>
        <family val="3"/>
        <charset val="129"/>
      </rPr>
      <t xml:space="preserve">· RAG </t>
    </r>
    <r>
      <rPr>
        <sz val="10"/>
        <rFont val="Noto Sans CJK SC"/>
        <family val="2"/>
      </rPr>
      <t xml:space="preserve">파이프라인 설계문서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소스코드 </t>
    </r>
    <r>
      <rPr>
        <sz val="10"/>
        <rFont val="맑은 고딕"/>
        <family val="3"/>
        <charset val="129"/>
      </rPr>
      <t xml:space="preserve">· README.md · </t>
    </r>
    <r>
      <rPr>
        <sz val="10"/>
        <rFont val="Noto Sans CJK SC"/>
        <family val="2"/>
      </rPr>
      <t>검증 결과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요구사항 대조표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테스트 결과표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셀프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상호 체크리스트</t>
    </r>
    <r>
      <rPr>
        <sz val="10"/>
        <rFont val="맑은 고딕"/>
        <family val="3"/>
        <charset val="129"/>
      </rPr>
      <t>)</t>
    </r>
    <r>
      <rPr>
        <sz val="10"/>
        <rFont val="Noto Sans CJK SC"/>
        <family val="2"/>
      </rPr>
      <t>를 모두 포함했다</t>
    </r>
  </si>
  <si>
    <t>집계</t>
  </si>
  <si>
    <t>통과</t>
  </si>
  <si>
    <r>
      <rPr>
        <sz val="10"/>
        <rFont val="Noto Sans CJK SC"/>
        <family val="2"/>
      </rPr>
      <t xml:space="preserve">제출 전에 「실패」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「미확인」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「미기입」이 남아 있으면 비고에 사유가 적혀 있는지 확인합니다</t>
    </r>
    <r>
      <rPr>
        <sz val="10"/>
        <rFont val="맑은 고딕"/>
        <family val="3"/>
        <charset val="129"/>
      </rPr>
      <t>.</t>
    </r>
  </si>
  <si>
    <t>실패</t>
  </si>
  <si>
    <t>미확인</t>
  </si>
  <si>
    <t>해당없음</t>
  </si>
  <si>
    <t>미기입</t>
  </si>
  <si>
    <t>전체 항목</t>
  </si>
  <si>
    <r>
      <rPr>
        <b/>
        <sz val="11"/>
        <rFont val="Noto Sans CJK SC"/>
        <family val="2"/>
      </rPr>
      <t xml:space="preserve">상호 점검 피드백 — 상호 점검 때만 작성 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짧게 한두 문장</t>
    </r>
    <r>
      <rPr>
        <b/>
        <sz val="11"/>
        <rFont val="맑은 고딕"/>
        <family val="3"/>
        <charset val="129"/>
      </rPr>
      <t>)</t>
    </r>
  </si>
  <si>
    <t>잘한 것 하나</t>
  </si>
  <si>
    <t>개선할 것 하나</t>
  </si>
  <si>
    <r>
      <rPr>
        <b/>
        <sz val="14"/>
        <color rgb="FF000000"/>
        <rFont val="Noto Sans CJK SC"/>
        <family val="2"/>
      </rPr>
      <t xml:space="preserve">셀프 </t>
    </r>
    <r>
      <rPr>
        <b/>
        <sz val="14"/>
        <color rgb="FF000000"/>
        <rFont val="맑은 고딕"/>
        <family val="3"/>
        <charset val="129"/>
      </rPr>
      <t xml:space="preserve">· </t>
    </r>
    <r>
      <rPr>
        <b/>
        <sz val="14"/>
        <color rgb="FF000000"/>
        <rFont val="Noto Sans CJK SC"/>
        <family val="2"/>
      </rPr>
      <t>상호 체크리스트 작성 안내</t>
    </r>
  </si>
  <si>
    <t>언제</t>
  </si>
  <si>
    <r>
      <rPr>
        <sz val="10"/>
        <color rgb="FF000000"/>
        <rFont val="Noto Sans CJK SC"/>
        <family val="2"/>
      </rPr>
      <t xml:space="preserve">셀프 —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3"/>
        <charset val="129"/>
      </rPr>
      <t xml:space="preserve">15:30 ~ 16:30 · </t>
    </r>
    <r>
      <rPr>
        <sz val="10"/>
        <color rgb="FF000000"/>
        <rFont val="Noto Sans CJK SC"/>
        <family val="2"/>
      </rPr>
      <t>내 앱을 직접 실행하며 항목을 하나씩 확인합니다</t>
    </r>
    <r>
      <rPr>
        <sz val="10"/>
        <color rgb="FF000000"/>
        <rFont val="맑은 고딕"/>
        <family val="3"/>
        <charset val="129"/>
      </rPr>
      <t xml:space="preserve">.
</t>
    </r>
    <r>
      <rPr>
        <sz val="10"/>
        <color rgb="FF000000"/>
        <rFont val="Noto Sans CJK SC"/>
        <family val="2"/>
      </rPr>
      <t xml:space="preserve">상호 —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3"/>
        <charset val="129"/>
      </rPr>
      <t xml:space="preserve">16:30 ~ 17:30 · </t>
    </r>
    <r>
      <rPr>
        <sz val="10"/>
        <color rgb="FF000000"/>
        <rFont val="Noto Sans CJK SC"/>
        <family val="2"/>
      </rPr>
      <t>셀프 때와 같은 양식으로 옆 교육생의 앱을 점검하고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점검자 칸에 이름을 적어 주고받습니다</t>
    </r>
    <r>
      <rPr>
        <sz val="10"/>
        <color rgb="FF000000"/>
        <rFont val="맑은 고딕"/>
        <family val="3"/>
        <charset val="129"/>
      </rPr>
      <t>.</t>
    </r>
  </si>
  <si>
    <t>무엇을 적나</t>
  </si>
  <si>
    <r>
      <rPr>
        <sz val="10"/>
        <color rgb="FF000000"/>
        <rFont val="Noto Sans CJK SC"/>
        <family val="2"/>
      </rPr>
      <t>점검 유형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셀프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상호</t>
    </r>
    <r>
      <rPr>
        <sz val="10"/>
        <color rgb="FF000000"/>
        <rFont val="맑은 고딕"/>
        <family val="3"/>
        <charset val="129"/>
      </rPr>
      <t xml:space="preserve">) · </t>
    </r>
    <r>
      <rPr>
        <sz val="10"/>
        <color rgb="FF000000"/>
        <rFont val="Noto Sans CJK SC"/>
        <family val="2"/>
      </rPr>
      <t xml:space="preserve">앱 작성자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점검자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점검 일시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그리고 항목마다 결과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비고를 적습니다</t>
    </r>
    <r>
      <rPr>
        <sz val="10"/>
        <color rgb="FF000000"/>
        <rFont val="맑은 고딕"/>
        <family val="3"/>
        <charset val="129"/>
      </rPr>
      <t xml:space="preserve">.
</t>
    </r>
    <r>
      <rPr>
        <sz val="10"/>
        <color rgb="FF000000"/>
        <rFont val="Noto Sans CJK SC"/>
        <family val="2"/>
      </rPr>
      <t>연한 노란 칸만 입력합니다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확인 항목과 확인 방법은 고치지 않습니다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</si>
  <si>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통과 — 직접 실행해 기대한 결과를 확인함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증명이 필요한 항목은 증빙 첨부</t>
    </r>
    <r>
      <rPr>
        <sz val="10"/>
        <color rgb="FF000000"/>
        <rFont val="맑은 고딕"/>
        <family val="3"/>
        <charset val="129"/>
      </rPr>
      <t xml:space="preserve">)
</t>
    </r>
    <r>
      <rPr>
        <sz val="10"/>
        <color rgb="FF000000"/>
        <rFont val="Noto Sans CJK SC"/>
        <family val="2"/>
      </rPr>
      <t>실패 — 실행했으나 기대와 다름 → 비고에 사유와 조치
미확인 — 실행하지 못함 → 비고에 사유
해당없음 — 선택하지 않은 심화 항목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해당하지 않는 도메인 항목</t>
    </r>
  </si>
  <si>
    <t>증빙</t>
  </si>
  <si>
    <r>
      <rPr>
        <sz val="10"/>
        <color rgb="FF000000"/>
        <rFont val="Noto Sans CJK SC"/>
        <family val="2"/>
      </rPr>
      <t>화면 캡처의 파일명을 적고 제출물에 함께 넣습니다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번호를 앞에 붙이면 찾기 쉽습니다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) 04_</t>
    </r>
    <r>
      <rPr>
        <sz val="10"/>
        <color rgb="FF000000"/>
        <rFont val="Noto Sans CJK SC"/>
        <family val="2"/>
      </rPr>
      <t>재질문</t>
    </r>
    <r>
      <rPr>
        <sz val="10"/>
        <color rgb="FF000000"/>
        <rFont val="맑은 고딕"/>
        <family val="3"/>
        <charset val="129"/>
      </rPr>
      <t>_</t>
    </r>
    <r>
      <rPr>
        <sz val="10"/>
        <color rgb="FF000000"/>
        <rFont val="Noto Sans CJK SC"/>
        <family val="2"/>
      </rPr>
      <t>수집로그</t>
    </r>
    <r>
      <rPr>
        <sz val="10"/>
        <color rgb="FF000000"/>
        <rFont val="맑은 고딕"/>
        <family val="3"/>
        <charset val="129"/>
      </rPr>
      <t xml:space="preserve">.png
</t>
    </r>
    <r>
      <rPr>
        <sz val="10"/>
        <color rgb="FF000000"/>
        <rFont val="Noto Sans CJK SC"/>
        <family val="2"/>
      </rPr>
      <t xml:space="preserve">캡처에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키와 오류 상세 내용이 보이지 않게 합니다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</si>
  <si>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체크리스트 아래 집계 칸이 결과를 자동으로 셉니다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제출 전에 「실패」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「미확인」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「미기입」이 남아 있으면 비고에 사유가 적혀 있는지 확인합니다</t>
    </r>
    <r>
      <rPr>
        <sz val="10"/>
        <color rgb="FF000000"/>
        <rFont val="맑은 고딕"/>
        <family val="3"/>
        <charset val="129"/>
      </rPr>
      <t>.</t>
    </r>
  </si>
  <si>
    <t>상호 피드백</t>
  </si>
  <si>
    <r>
      <rPr>
        <sz val="10"/>
        <color rgb="FF000000"/>
        <rFont val="Noto Sans CJK SC"/>
        <family val="2"/>
      </rPr>
      <t>상호 점검 때는 맨 아래에 잘한 것 하나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개선할 것 하나를 짧게 적어 돌려줍니다</t>
    </r>
    <r>
      <rPr>
        <sz val="10"/>
        <color rgb="FF000000"/>
        <rFont val="맑은 고딕"/>
        <family val="3"/>
        <charset val="129"/>
      </rPr>
      <t xml:space="preserve">.
</t>
    </r>
    <r>
      <rPr>
        <sz val="10"/>
        <color rgb="FF000000"/>
        <rFont val="Noto Sans CJK SC"/>
        <family val="2"/>
      </rPr>
      <t>지적받은 결함 중 고칠 수 있는 것만 고치고 최종 제출합니다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새 기능은 넣지 않습니다</t>
    </r>
    <r>
      <rPr>
        <sz val="10"/>
        <color rgb="FF000000"/>
        <rFont val="맑은 고딕"/>
        <family val="3"/>
        <charset val="129"/>
      </rPr>
      <t>.</t>
    </r>
  </si>
  <si>
    <t>가장 중요한 규칙</t>
  </si>
  <si>
    <r>
      <rPr>
        <b/>
        <sz val="10"/>
        <color rgb="FFC00000"/>
        <rFont val="Noto Sans CJK SC"/>
        <family val="2"/>
      </rPr>
      <t>확인하지 않은 것을 통과로 적지 않습니다</t>
    </r>
    <r>
      <rPr>
        <b/>
        <sz val="10"/>
        <color rgb="FFC00000"/>
        <rFont val="맑은 고딕"/>
        <family val="3"/>
        <charset val="129"/>
      </rPr>
      <t>.</t>
    </r>
  </si>
  <si>
    <r>
      <rPr>
        <b/>
        <sz val="10"/>
        <color rgb="FF000000"/>
        <rFont val="Noto Sans CJK SC"/>
        <family val="2"/>
      </rPr>
      <t>작성 예시 — 모양만 보여 주는 예입니다</t>
    </r>
    <r>
      <rPr>
        <b/>
        <sz val="10"/>
        <color rgb="FF000000"/>
        <rFont val="맑은 고딕"/>
        <family val="3"/>
        <charset val="129"/>
      </rPr>
      <t xml:space="preserve">. </t>
    </r>
    <r>
      <rPr>
        <b/>
        <sz val="10"/>
        <color rgb="FF000000"/>
        <rFont val="Noto Sans CJK SC"/>
        <family val="2"/>
      </rPr>
      <t>실제 체크리스트에는 이 줄을 옮기지 않습니다</t>
    </r>
    <r>
      <rPr>
        <b/>
        <sz val="10"/>
        <color rgb="FF000000"/>
        <rFont val="맑은 고딕"/>
        <family val="3"/>
        <charset val="129"/>
      </rPr>
      <t>.</t>
    </r>
  </si>
  <si>
    <r>
      <rPr>
        <b/>
        <sz val="10"/>
        <rFont val="Noto Sans CJK SC"/>
        <family val="2"/>
      </rPr>
      <t xml:space="preserve">증빙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 xml:space="preserve">캡처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파일명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</si>
  <si>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비고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 xml:space="preserve">실패 </t>
    </r>
    <r>
      <rPr>
        <b/>
        <sz val="10"/>
        <rFont val="맑은 고딕"/>
        <family val="3"/>
        <charset val="129"/>
      </rPr>
      <t xml:space="preserve">· </t>
    </r>
    <r>
      <rPr>
        <b/>
        <sz val="10"/>
        <rFont val="Noto Sans CJK SC"/>
        <family val="2"/>
      </rPr>
      <t>미확인 사유</t>
    </r>
    <r>
      <rPr>
        <b/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</si>
  <si>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04_</t>
    </r>
    <r>
      <rPr>
        <sz val="10"/>
        <rFont val="Noto Sans CJK SC"/>
        <family val="2"/>
      </rPr>
      <t>재질문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수집로그</t>
    </r>
    <r>
      <rPr>
        <sz val="10"/>
        <rFont val="맑은 고딕"/>
        <family val="3"/>
        <charset val="129"/>
      </rPr>
      <t>.png</t>
    </r>
  </si>
  <si>
    <r>
      <rPr>
        <sz val="10"/>
        <rFont val="Noto Sans CJK SC"/>
        <family val="2"/>
      </rPr>
      <t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인용된 근거가 없으면 그 사실이 화면에 안내된다</t>
    </r>
  </si>
  <si>
    <r>
      <rPr>
        <sz val="10"/>
        <rFont val="맑은 고딕"/>
        <family val="3"/>
        <charset val="129"/>
      </rPr>
      <t>09_</t>
    </r>
    <r>
      <rPr>
        <sz val="10"/>
        <rFont val="Noto Sans CJK SC"/>
        <family val="2"/>
      </rPr>
      <t>없는내용</t>
    </r>
    <r>
      <rPr>
        <sz val="10"/>
        <rFont val="맑은 고딕"/>
        <family val="3"/>
        <charset val="129"/>
      </rPr>
      <t>_</t>
    </r>
    <r>
      <rPr>
        <sz val="10"/>
        <rFont val="Noto Sans CJK SC"/>
        <family val="2"/>
      </rPr>
      <t>질문</t>
    </r>
    <r>
      <rPr>
        <sz val="10"/>
        <rFont val="맑은 고딕"/>
        <family val="3"/>
        <charset val="129"/>
      </rPr>
      <t>.png</t>
    </r>
  </si>
  <si>
    <r>
      <rPr>
        <sz val="10"/>
        <rFont val="Noto Sans CJK SC"/>
        <family val="2"/>
      </rPr>
      <t xml:space="preserve">안내 문구는 나오지만 답변에 추측이 섞임 → 프롬프트 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3"/>
        <charset val="129"/>
      </rPr>
      <t>'</t>
    </r>
    <r>
      <rPr>
        <sz val="10"/>
        <rFont val="Noto Sans CJK SC"/>
        <family val="2"/>
      </rPr>
      <t>문서에 없으면 답하지 않는다</t>
    </r>
    <r>
      <rPr>
        <sz val="10"/>
        <rFont val="맑은 고딕"/>
        <family val="3"/>
        <charset val="129"/>
      </rPr>
      <t xml:space="preserve">' </t>
    </r>
    <r>
      <rPr>
        <sz val="10"/>
        <rFont val="Noto Sans CJK SC"/>
        <family val="2"/>
      </rPr>
      <t>규칙 추가 예정</t>
    </r>
  </si>
  <si>
    <r>
      <rPr>
        <sz val="10"/>
        <rFont val="Noto Sans CJK SC"/>
        <family val="2"/>
      </rPr>
      <t xml:space="preserve">심화 기능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선택한 것만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</si>
  <si>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>검색을 각각 적용했을 때 근거 목록이 어떻게 달라지는지 확인된다</t>
    </r>
  </si>
  <si>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>심화 기능을 선택하지 않음</t>
    </r>
  </si>
  <si>
    <r>
      <rPr>
        <sz val="10"/>
        <rFont val="맑은 고딕"/>
        <family val="3"/>
        <charset val="129"/>
      </rPr>
      <t xml:space="preserve">GMS </t>
    </r>
    <r>
      <rPr>
        <sz val="10"/>
        <rFont val="Noto Sans CJK SC"/>
        <family val="2"/>
      </rPr>
      <t>응답 지연으로 측정 못 함 → 상호 점검 전에 다시 측정</t>
    </r>
  </si>
  <si>
    <t>상호</t>
  </si>
  <si>
    <t>hdh / StackOverflowing</t>
  </si>
  <si>
    <t>2026-10-23 (코드·오프라인 점검)</t>
  </si>
  <si>
    <t>점검 근거 시트 · 1번</t>
  </si>
  <si>
    <t>104건·고유 ID104 확인. 실제 Chroma 건수 미검증.</t>
  </si>
  <si>
    <t>점검 근거 시트 · 2번</t>
  </si>
  <si>
    <t>안정 ID104 유지 확인. 실제 Chroma 재실행 미실시.</t>
  </si>
  <si>
    <t>점검 근거 시트 · 3번</t>
  </si>
  <si>
    <t>검색어·선별 프롬프트 파일이 실제 수집 경로에 연결되지 않음.</t>
  </si>
  <si>
    <t>점검 근거 시트 · 4번</t>
  </si>
  <si>
    <t>성공 경로 2회 요청에서 검색·수집 각각1회. 실제 API 미사용.</t>
  </si>
  <si>
    <t>점검 근거 시트 · 5번</t>
  </si>
  <si>
    <t>청크1000/200→50/10에서도3건 동일. 설정을 읽는 청킹 경로 없음.</t>
  </si>
  <si>
    <t>점검 근거 시트 · 6번</t>
  </si>
  <si>
    <t>Top-k1/6을 전달해도 실제 검색 k=2·근거4개로 동일.</t>
  </si>
  <si>
    <t>점검 근거 시트 · 7번</t>
  </si>
  <si>
    <t>StateGraph의 retrieve→generate 두 노드 연결 확인. 실제 모델 실행 아님.</t>
  </si>
  <si>
    <t>점검 근거 시트 · 8번</t>
  </si>
  <si>
    <t>생성 뒤 재검색한 근거로 표시함. 생성 당시 번호·출처 일치 실측 필요.</t>
  </si>
  <si>
    <t>점검 근거 시트 · 9번</t>
  </si>
  <si>
    <t>무근거 보류 구현. 관련 주제의 미확인 사실에 대한 실제 답변은 미검증.</t>
  </si>
  <si>
    <t>점검 근거 시트 · 10번</t>
  </si>
  <si>
    <t>A→B→A 기록·출처 유지, 재표시 중복 없음. 실제 브라우저 미실시.</t>
  </si>
  <si>
    <t>점검 근거 시트 · 11번</t>
  </si>
  <si>
    <t>범주·만족도 조건의 SQL 결과 확인. 실제 자연어 파싱은 미실시.</t>
  </si>
  <si>
    <t>점검 근거 시트 · 12번</t>
  </si>
  <si>
    <t>추천·진단 화면 존재. 특화 답변과 인용 출처의 실제 대응은 미검증.</t>
  </si>
  <si>
    <t>점검 근거 시트 · 13번</t>
  </si>
  <si>
    <t>스피너·키 미설정 안내 구현. 색인 없음·실제 처리 화면 미검증.</t>
  </si>
  <si>
    <t>점검 근거 시트 · 14번</t>
  </si>
  <si>
    <t>개발 기술·설문 분석 도메인으로 건강·금융 조언 항목에 해당하지 않음.</t>
  </si>
  <si>
    <t>점검 근거 시트 · 15번</t>
  </si>
  <si>
    <t>별도 HTML/CSS/JS 프론트엔드 심화 선택 명시 없음. Streamlit 사용.</t>
  </si>
  <si>
    <t>점검 근거 시트 · 16번</t>
  </si>
  <si>
    <t>MMR 심화 선택·비교 구현이 명시되지 않음.</t>
  </si>
  <si>
    <t>점검 근거 시트 · 17번</t>
  </si>
  <si>
    <t>RAG 유무5문항 비교 심화 선택·비교 기록 없음.</t>
  </si>
  <si>
    <t>점검 근거 시트 · 18번</t>
  </si>
  <si>
    <t>17번 비교 심화의 선택·문서화 기록 없음.</t>
  </si>
  <si>
    <t>점검 근거 시트 · 19번</t>
  </si>
  <si>
    <t>정형 통계/공식 문맥 구분 표시 확인. 실제 브라우저 미실시.</t>
  </si>
  <si>
    <t>점검 근거 시트 · 20번</t>
  </si>
  <si>
    <t>실제 요청의 처리 시간 측정 기록이 제공되지 않음.</t>
  </si>
  <si>
    <t>점검 근거 시트 · 21번</t>
  </si>
  <si>
    <t>환경변수 분리는 확인. 전체 비밀정보 비노출·오류 화면 검증은 미실시.</t>
  </si>
  <si>
    <t>점검 근거 시트 · 22번</t>
  </si>
  <si>
    <t>수집/색인/검색/생성/UI 모듈이 실제로 분리되어 있음.</t>
  </si>
  <si>
    <t>점검 근거 시트 · 23번</t>
  </si>
  <si>
    <t>User-Agent·timeout 구현. 간격·재시도·실서비스 준수 미검증.</t>
  </si>
  <si>
    <t>점검 근거 시트 · 24번</t>
  </si>
  <si>
    <t>README에 설문·위키 출처와 이용 조건 기록. 허락·정확성 전체 보증 아님.</t>
  </si>
  <si>
    <t>점검 근거 시트 · 25번</t>
  </si>
  <si>
    <t>3·5·6번 누락과 실제 실행 미확인 항목이 남아 일괄 통과 판단 전.</t>
  </si>
  <si>
    <t>점검 근거 시트 · 26번</t>
  </si>
  <si>
    <t>정상 앱의 실제 실행 캡처와 증빙 첨부 확인이 남아 있음.</t>
  </si>
  <si>
    <t>점검 근거 시트 · 27번</t>
  </si>
  <si>
    <t>코드·README는 확인. 지정 검증 결과·완성 제출 묶음 확인은 남음.</t>
  </si>
  <si>
    <t>SQLite 정형 통계와 LangGraph 두 노드를 분리하고, 기술별 대화와 출처 종류를 구분한 구조가 명확합니다.</t>
  </si>
  <si>
    <t>검색어·문서 선별 프롬프트 연결, 청킹 설정 및 Top-k 반영을 우선 보완하면 좋겠습니다.</t>
  </si>
  <si>
    <t>상호 점검 근거 — hdh-02-ai-pjt / StackOverflowing</t>
  </si>
  <si>
    <t>범위</t>
  </si>
  <si>
    <t>코드 확인·격리 SQLite·대체 클라이언트/저장소/세션 검사. 정상 앱·브라우저·실제 모델 검증 아님.</t>
  </si>
  <si>
    <t>실제 호출</t>
  </si>
  <si>
    <t>채팅0·임베딩0·외부 데이터0. 키/.env 미열람. 동료 파일 수정 없음.</t>
  </si>
  <si>
    <t>작성 안내</t>
  </si>
  <si>
    <t>점검자 성명은 미제공되어 비워 두었습니다. 실제 확인자 성명을 입력하세요.</t>
  </si>
  <si>
    <t>확인 방식</t>
  </si>
  <si>
    <t>관측 내용</t>
  </si>
  <si>
    <t>구현 위치</t>
  </si>
  <si>
    <t>1</t>
  </si>
  <si>
    <t>코드·격리 SQLite·대체 저장소</t>
  </si>
  <si>
    <t>data/items.py; indexing/metadata.py</t>
  </si>
  <si>
    <t>2</t>
  </si>
  <si>
    <t>대체 저장소 반복 검사</t>
  </si>
  <si>
    <t>indexing/metadata.py:7-38</t>
  </si>
  <si>
    <t>3</t>
  </si>
  <si>
    <t>코드·대체 수집 경로 확인</t>
  </si>
  <si>
    <t>collection/service.py:19-28; prompts/</t>
  </si>
  <si>
    <t>4</t>
  </si>
  <si>
    <t>대체 클라이언트·메모리 저장소</t>
  </si>
  <si>
    <t>collection/service.py:10-15</t>
  </si>
  <si>
    <t>5</t>
  </si>
  <si>
    <t>대체 저장소 설정 변경 검사</t>
  </si>
  <si>
    <t>indexing/documents.py:35-50; config.py</t>
  </si>
  <si>
    <t>6</t>
  </si>
  <si>
    <t>대체 검색 객체 설정 변경 검사</t>
  </si>
  <si>
    <t>rag/retrieve.py:84-86,146-147</t>
  </si>
  <si>
    <t>7</t>
  </si>
  <si>
    <t>실제 그래프 코드 확인</t>
  </si>
  <si>
    <t>rag/graph.py:35-46</t>
  </si>
  <si>
    <t>8</t>
  </si>
  <si>
    <t>코드 확인</t>
  </si>
  <si>
    <t>ui/chat.py:44-56; rag/citations.py</t>
  </si>
  <si>
    <t>9</t>
  </si>
  <si>
    <t>코드·프롬프트 확인</t>
  </si>
  <si>
    <t>rag/generate.py:18-26; prompts/answer.txt</t>
  </si>
  <si>
    <t>10</t>
  </si>
  <si>
    <t>대체 답변·세션 객체 검사</t>
  </si>
  <si>
    <t>ui/chat.py:9-13,58-75</t>
  </si>
  <si>
    <t>11</t>
  </si>
  <si>
    <t>격리 SQLite 조건 검사</t>
  </si>
  <si>
    <t>services/discovery.py; data/sqlite_db.py</t>
  </si>
  <si>
    <t>12</t>
  </si>
  <si>
    <t>화면 코드 확인</t>
  </si>
  <si>
    <t>ui/advisor.py; services/specialty.py</t>
  </si>
  <si>
    <t>13</t>
  </si>
  <si>
    <t>ui/status.py; ui/chat.py</t>
  </si>
  <si>
    <t>14</t>
  </si>
  <si>
    <t>도메인 확인</t>
  </si>
  <si>
    <t>README.md</t>
  </si>
  <si>
    <t>15</t>
  </si>
  <si>
    <t>README·화면 구성 확인</t>
  </si>
  <si>
    <t>app.py; README.md</t>
  </si>
  <si>
    <t>16</t>
  </si>
  <si>
    <t>선택 기능 확인</t>
  </si>
  <si>
    <t>README.md; rag/retrieve.py</t>
  </si>
  <si>
    <t>17</t>
  </si>
  <si>
    <t>18</t>
  </si>
  <si>
    <t>19</t>
  </si>
  <si>
    <t>실제 표시 함수·대체 근거 검사</t>
  </si>
  <si>
    <t>ui/sources.py:6-22</t>
  </si>
  <si>
    <t>20</t>
  </si>
  <si>
    <t>자료 확인</t>
  </si>
  <si>
    <t>제공 프로젝트 내 실행 기록 없음</t>
  </si>
  <si>
    <t>21</t>
  </si>
  <si>
    <t>설정·오류 코드 확인</t>
  </si>
  <si>
    <t>config.py; .gitignore; rag/generate.py:80</t>
  </si>
  <si>
    <t>22</t>
  </si>
  <si>
    <t>파일·함수 구조 확인</t>
  </si>
  <si>
    <t>collection/; indexing/; rag/; services/; ui/</t>
  </si>
  <si>
    <t>23</t>
  </si>
  <si>
    <t>외부 클라이언트 코드 확인</t>
  </si>
  <si>
    <t>collection/client.py</t>
  </si>
  <si>
    <t>24</t>
  </si>
  <si>
    <t>문서 확인</t>
  </si>
  <si>
    <t>README.md:104-109; data/provenance.py</t>
  </si>
  <si>
    <t>25</t>
  </si>
  <si>
    <t>개별 항목 종합</t>
  </si>
  <si>
    <t>본 체크리스트 개별 결과</t>
  </si>
  <si>
    <t>26</t>
  </si>
  <si>
    <t>제공 산출물 확인</t>
  </si>
  <si>
    <t>제공 프로젝트 내 화면 증빙 없음</t>
  </si>
  <si>
    <t>27</t>
  </si>
  <si>
    <t>제공 폴더 기준</t>
  </si>
  <si>
    <t>추가 한계</t>
  </si>
  <si>
    <t>메타데이터 대체 저장소104건 일치·안정 ID는 확인했으나 실제 Chroma/임베딩 지원 검증으로 바꾸지 않았습니다.</t>
  </si>
  <si>
    <t>오프라인 결과</t>
  </si>
  <si>
    <t>SQLite 두 번 적재 후 technology104 / observation104. 범주32/26/20/26.</t>
  </si>
  <si>
    <t>설정 재현</t>
  </si>
  <si>
    <t>청킹1000/200과50/10 모두3문서. Top-k1과6 모두 실제k2·근거4개.</t>
  </si>
  <si>
    <t>보존</t>
  </si>
  <si>
    <t>A/B/A 및 재표시 검사에는 테스트용 답변만 사용했습니다. 실제 API/브라우저 성공 증거가 아닙니다.</t>
  </si>
  <si>
    <t>이용 조건</t>
  </si>
  <si>
    <t>출처·이용 조건의 기록 여부를 확인한 것이며 수치 원전 정확성·전체 이용 허락을 보증하지 않습니다.</t>
  </si>
  <si>
    <t>이주형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</si>
</sst>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"/>
    </font>
    <font>
      <b/>
      <sz val="14"/>
      <name val="맑은 고딕"/>
      <family val="3"/>
      <charset val="129"/>
    </font>
    <font>
      <b/>
      <sz val="14"/>
      <name val="Noto Sans CJK SC"/>
      <family val="2"/>
    </font>
    <font>
      <b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000000"/>
      <name val="Noto Sans CJK SC"/>
      <family val="2"/>
    </font>
    <font>
      <b/>
      <sz val="14"/>
      <color rgb="FF000000"/>
      <name val="맑은 고딕"/>
      <family val="3"/>
      <charset val="129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b/>
      <sz val="10"/>
      <color rgb="FFC00000"/>
      <name val="Noto Sans CJK SC"/>
      <family val="2"/>
    </font>
    <font>
      <b/>
      <sz val="10"/>
      <color rgb="FFC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4" fillId="0" borderId="0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5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4">
    <dxf>
      <font>
        <b/>
        <color rgb="FF595959"/>
      </font>
      <fill>
        <patternFill>
          <bgColor rgb="FFEDEDED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46"/>
  <sheetViews>
    <sheetView showGridLines="0" tabSelected="1" zoomScale="90" zoomScaleNormal="90" workbookViewId="0">
      <selection activeCell="C5" sqref="C5:E5"/>
    </sheetView>
  </sheetViews>
  <sheetFormatPr defaultColWidth="8.5" defaultRowHeight="16.5"/>
  <cols>
    <col min="1" max="1" width="3" customWidth="1"/>
    <col min="2" max="2" width="13" customWidth="1"/>
    <col min="3" max="3" width="6" customWidth="1"/>
    <col min="4" max="4" width="14" customWidth="1"/>
    <col min="5" max="5" width="50" customWidth="1"/>
    <col min="6" max="6" width="46" customWidth="1"/>
    <col min="7" max="7" width="11" customWidth="1"/>
    <col min="8" max="8" width="24" customWidth="1"/>
    <col min="9" max="9" width="30" customWidth="1"/>
  </cols>
  <sheetData>
    <row r="2" spans="2:9" ht="39.75" customHeight="1">
      <c r="B2" s="13" t="s">
        <v>0</v>
      </c>
      <c r="C2" s="13"/>
      <c r="D2" s="13"/>
      <c r="E2" s="13"/>
      <c r="F2" s="13"/>
      <c r="G2" s="13"/>
      <c r="H2" s="13"/>
      <c r="I2" s="13"/>
    </row>
    <row r="3" spans="2:9" ht="24" customHeight="1">
      <c r="B3" s="14" t="s">
        <v>1</v>
      </c>
      <c r="C3" s="12" t="s">
        <v>133</v>
      </c>
      <c r="D3" s="12"/>
      <c r="E3" s="12"/>
      <c r="F3" s="11" t="s">
        <v>2</v>
      </c>
      <c r="G3" s="11"/>
      <c r="H3" s="11"/>
      <c r="I3" s="11"/>
    </row>
    <row r="4" spans="2:9" ht="24" customHeight="1">
      <c r="B4" s="14" t="s">
        <v>3</v>
      </c>
      <c r="C4" s="12" t="s">
        <v>134</v>
      </c>
      <c r="D4" s="12"/>
      <c r="E4" s="12"/>
      <c r="F4" s="11"/>
      <c r="G4" s="11"/>
      <c r="H4" s="11"/>
      <c r="I4" s="11"/>
    </row>
    <row r="5" spans="2:9" ht="24" customHeight="1">
      <c r="B5" s="14" t="s">
        <v>4</v>
      </c>
      <c r="C5" s="12" t="s">
        <v>287</v>
      </c>
      <c r="D5" s="12"/>
      <c r="E5" s="12"/>
      <c r="F5" s="11"/>
      <c r="G5" s="11"/>
      <c r="H5" s="11"/>
      <c r="I5" s="11"/>
    </row>
    <row r="6" spans="2:9" ht="24" customHeight="1">
      <c r="B6" s="14" t="s">
        <v>5</v>
      </c>
      <c r="C6" s="12" t="s">
        <v>135</v>
      </c>
      <c r="D6" s="12"/>
      <c r="E6" s="12"/>
      <c r="F6" s="11"/>
      <c r="G6" s="11"/>
      <c r="H6" s="11"/>
      <c r="I6" s="11"/>
    </row>
    <row r="7" spans="2:9" ht="18" customHeight="1">
      <c r="B7" s="10" t="s">
        <v>6</v>
      </c>
      <c r="C7" s="10"/>
      <c r="D7" s="10"/>
      <c r="E7" s="10"/>
      <c r="F7" s="10"/>
      <c r="G7" s="10"/>
      <c r="H7" s="10"/>
      <c r="I7" s="10"/>
    </row>
    <row r="8" spans="2:9" ht="24" customHeight="1">
      <c r="B8" s="14" t="s">
        <v>7</v>
      </c>
      <c r="C8" s="14" t="s">
        <v>8</v>
      </c>
      <c r="D8" s="14" t="s">
        <v>9</v>
      </c>
      <c r="E8" s="14" t="s">
        <v>10</v>
      </c>
      <c r="F8" s="14" t="s">
        <v>11</v>
      </c>
      <c r="G8" s="14" t="s">
        <v>12</v>
      </c>
      <c r="H8" s="14" t="s">
        <v>13</v>
      </c>
      <c r="I8" s="14" t="s">
        <v>14</v>
      </c>
    </row>
    <row r="9" spans="2:9" ht="34.5" customHeight="1">
      <c r="B9" s="9" t="s">
        <v>15</v>
      </c>
      <c r="C9" s="17">
        <v>1</v>
      </c>
      <c r="D9" s="17" t="s">
        <v>16</v>
      </c>
      <c r="E9" s="16" t="s">
        <v>17</v>
      </c>
      <c r="F9" s="16" t="s">
        <v>18</v>
      </c>
      <c r="G9" s="18" t="s">
        <v>102</v>
      </c>
      <c r="H9" s="15" t="s">
        <v>136</v>
      </c>
      <c r="I9" s="15" t="s">
        <v>137</v>
      </c>
    </row>
    <row r="10" spans="2:9" ht="24" customHeight="1">
      <c r="B10" s="9"/>
      <c r="C10" s="17">
        <v>2</v>
      </c>
      <c r="D10" s="17" t="s">
        <v>19</v>
      </c>
      <c r="E10" s="16" t="s">
        <v>20</v>
      </c>
      <c r="F10" s="16" t="s">
        <v>21</v>
      </c>
      <c r="G10" s="18" t="s">
        <v>102</v>
      </c>
      <c r="H10" s="15" t="s">
        <v>138</v>
      </c>
      <c r="I10" s="15" t="s">
        <v>139</v>
      </c>
    </row>
    <row r="11" spans="2:9" ht="48" customHeight="1">
      <c r="B11" s="9" t="s">
        <v>22</v>
      </c>
      <c r="C11" s="17">
        <v>3</v>
      </c>
      <c r="D11" s="17" t="s">
        <v>23</v>
      </c>
      <c r="E11" s="16" t="s">
        <v>24</v>
      </c>
      <c r="F11" s="16" t="s">
        <v>25</v>
      </c>
      <c r="G11" s="18" t="s">
        <v>101</v>
      </c>
      <c r="H11" s="15" t="s">
        <v>140</v>
      </c>
      <c r="I11" s="15" t="s">
        <v>141</v>
      </c>
    </row>
    <row r="12" spans="2:9" ht="34.5" customHeight="1">
      <c r="B12" s="9"/>
      <c r="C12" s="17">
        <v>4</v>
      </c>
      <c r="D12" s="17" t="s">
        <v>26</v>
      </c>
      <c r="E12" s="16" t="s">
        <v>27</v>
      </c>
      <c r="F12" s="16" t="s">
        <v>28</v>
      </c>
      <c r="G12" s="18" t="s">
        <v>99</v>
      </c>
      <c r="H12" s="15" t="s">
        <v>142</v>
      </c>
      <c r="I12" s="15" t="s">
        <v>143</v>
      </c>
    </row>
    <row r="13" spans="2:9" ht="34.5" customHeight="1">
      <c r="B13" s="9"/>
      <c r="C13" s="17">
        <v>5</v>
      </c>
      <c r="D13" s="17" t="s">
        <v>29</v>
      </c>
      <c r="E13" s="16" t="s">
        <v>30</v>
      </c>
      <c r="F13" s="16" t="s">
        <v>31</v>
      </c>
      <c r="G13" s="18" t="s">
        <v>101</v>
      </c>
      <c r="H13" s="15" t="s">
        <v>144</v>
      </c>
      <c r="I13" s="15" t="s">
        <v>145</v>
      </c>
    </row>
    <row r="14" spans="2:9" ht="34.5" customHeight="1">
      <c r="B14" s="9" t="s">
        <v>32</v>
      </c>
      <c r="C14" s="17">
        <v>6</v>
      </c>
      <c r="D14" s="17" t="s">
        <v>33</v>
      </c>
      <c r="E14" s="16" t="s">
        <v>34</v>
      </c>
      <c r="F14" s="19" t="s">
        <v>35</v>
      </c>
      <c r="G14" s="18" t="s">
        <v>101</v>
      </c>
      <c r="H14" s="15" t="s">
        <v>146</v>
      </c>
      <c r="I14" s="15" t="s">
        <v>147</v>
      </c>
    </row>
    <row r="15" spans="2:9" ht="34.5" customHeight="1">
      <c r="B15" s="9"/>
      <c r="C15" s="17">
        <v>7</v>
      </c>
      <c r="D15" s="17" t="s">
        <v>36</v>
      </c>
      <c r="E15" s="19" t="s">
        <v>37</v>
      </c>
      <c r="F15" s="16" t="s">
        <v>38</v>
      </c>
      <c r="G15" s="18" t="s">
        <v>99</v>
      </c>
      <c r="H15" s="15" t="s">
        <v>148</v>
      </c>
      <c r="I15" s="15" t="s">
        <v>149</v>
      </c>
    </row>
    <row r="16" spans="2:9" ht="34.5" customHeight="1">
      <c r="B16" s="9"/>
      <c r="C16" s="17">
        <v>8</v>
      </c>
      <c r="D16" s="17" t="s">
        <v>39</v>
      </c>
      <c r="E16" s="16" t="s">
        <v>40</v>
      </c>
      <c r="F16" s="16" t="s">
        <v>41</v>
      </c>
      <c r="G16" s="18" t="s">
        <v>102</v>
      </c>
      <c r="H16" s="15" t="s">
        <v>150</v>
      </c>
      <c r="I16" s="15" t="s">
        <v>151</v>
      </c>
    </row>
    <row r="17" spans="2:9" ht="48" customHeight="1">
      <c r="B17" s="9"/>
      <c r="C17" s="17">
        <v>9</v>
      </c>
      <c r="D17" s="17" t="s">
        <v>42</v>
      </c>
      <c r="E17" s="16" t="s">
        <v>43</v>
      </c>
      <c r="F17" s="16" t="s">
        <v>44</v>
      </c>
      <c r="G17" s="18" t="s">
        <v>102</v>
      </c>
      <c r="H17" s="15" t="s">
        <v>152</v>
      </c>
      <c r="I17" s="15" t="s">
        <v>153</v>
      </c>
    </row>
    <row r="18" spans="2:9" ht="24" customHeight="1">
      <c r="B18" s="9" t="s">
        <v>45</v>
      </c>
      <c r="C18" s="17">
        <v>10</v>
      </c>
      <c r="D18" s="17" t="s">
        <v>46</v>
      </c>
      <c r="E18" s="16" t="s">
        <v>47</v>
      </c>
      <c r="F18" s="16" t="s">
        <v>48</v>
      </c>
      <c r="G18" s="18" t="s">
        <v>99</v>
      </c>
      <c r="H18" s="15" t="s">
        <v>154</v>
      </c>
      <c r="I18" s="15" t="s">
        <v>155</v>
      </c>
    </row>
    <row r="19" spans="2:9" ht="34.5" customHeight="1">
      <c r="B19" s="9"/>
      <c r="C19" s="17">
        <v>11</v>
      </c>
      <c r="D19" s="17" t="s">
        <v>49</v>
      </c>
      <c r="E19" s="16" t="s">
        <v>50</v>
      </c>
      <c r="F19" s="16" t="s">
        <v>51</v>
      </c>
      <c r="G19" s="18" t="s">
        <v>102</v>
      </c>
      <c r="H19" s="15" t="s">
        <v>156</v>
      </c>
      <c r="I19" s="15" t="s">
        <v>157</v>
      </c>
    </row>
    <row r="20" spans="2:9" ht="24" customHeight="1">
      <c r="B20" s="9"/>
      <c r="C20" s="17">
        <v>12</v>
      </c>
      <c r="D20" s="17" t="s">
        <v>52</v>
      </c>
      <c r="E20" s="16" t="s">
        <v>53</v>
      </c>
      <c r="F20" s="16" t="s">
        <v>54</v>
      </c>
      <c r="G20" s="18" t="s">
        <v>102</v>
      </c>
      <c r="H20" s="15" t="s">
        <v>158</v>
      </c>
      <c r="I20" s="15" t="s">
        <v>159</v>
      </c>
    </row>
    <row r="21" spans="2:9" ht="34.5" customHeight="1">
      <c r="B21" s="9"/>
      <c r="C21" s="17">
        <v>13</v>
      </c>
      <c r="D21" s="17" t="s">
        <v>55</v>
      </c>
      <c r="E21" s="16" t="s">
        <v>56</v>
      </c>
      <c r="F21" s="16" t="s">
        <v>57</v>
      </c>
      <c r="G21" s="18" t="s">
        <v>102</v>
      </c>
      <c r="H21" s="15" t="s">
        <v>160</v>
      </c>
      <c r="I21" s="15" t="s">
        <v>161</v>
      </c>
    </row>
    <row r="22" spans="2:9" ht="48" customHeight="1">
      <c r="B22" s="9"/>
      <c r="C22" s="17">
        <v>14</v>
      </c>
      <c r="D22" s="17" t="s">
        <v>55</v>
      </c>
      <c r="E22" s="19" t="s">
        <v>58</v>
      </c>
      <c r="F22" s="16" t="s">
        <v>59</v>
      </c>
      <c r="G22" s="18" t="s">
        <v>103</v>
      </c>
      <c r="H22" s="15" t="s">
        <v>162</v>
      </c>
      <c r="I22" s="15" t="s">
        <v>163</v>
      </c>
    </row>
    <row r="23" spans="2:9" ht="34.5" customHeight="1">
      <c r="B23" s="9" t="s">
        <v>60</v>
      </c>
      <c r="C23" s="17">
        <v>15</v>
      </c>
      <c r="D23" s="17" t="s">
        <v>61</v>
      </c>
      <c r="E23" s="16" t="s">
        <v>62</v>
      </c>
      <c r="F23" s="16" t="s">
        <v>63</v>
      </c>
      <c r="G23" s="18" t="s">
        <v>103</v>
      </c>
      <c r="H23" s="15" t="s">
        <v>164</v>
      </c>
      <c r="I23" s="15" t="s">
        <v>165</v>
      </c>
    </row>
    <row r="24" spans="2:9" ht="34.5" customHeight="1">
      <c r="B24" s="9"/>
      <c r="C24" s="17">
        <v>16</v>
      </c>
      <c r="D24" s="17" t="s">
        <v>64</v>
      </c>
      <c r="E24" s="16" t="s">
        <v>65</v>
      </c>
      <c r="F24" s="16" t="s">
        <v>66</v>
      </c>
      <c r="G24" s="18" t="s">
        <v>103</v>
      </c>
      <c r="H24" s="15" t="s">
        <v>166</v>
      </c>
      <c r="I24" s="15" t="s">
        <v>167</v>
      </c>
    </row>
    <row r="25" spans="2:9" ht="61.5" customHeight="1">
      <c r="B25" s="9"/>
      <c r="C25" s="17">
        <v>17</v>
      </c>
      <c r="D25" s="17" t="s">
        <v>67</v>
      </c>
      <c r="E25" s="16" t="s">
        <v>68</v>
      </c>
      <c r="F25" s="16" t="s">
        <v>69</v>
      </c>
      <c r="G25" s="18" t="s">
        <v>103</v>
      </c>
      <c r="H25" s="15" t="s">
        <v>168</v>
      </c>
      <c r="I25" s="15" t="s">
        <v>169</v>
      </c>
    </row>
    <row r="26" spans="2:9" ht="24" customHeight="1">
      <c r="B26" s="9"/>
      <c r="C26" s="17">
        <v>18</v>
      </c>
      <c r="D26" s="17" t="s">
        <v>67</v>
      </c>
      <c r="E26" s="16" t="s">
        <v>70</v>
      </c>
      <c r="F26" s="16" t="s">
        <v>71</v>
      </c>
      <c r="G26" s="18" t="s">
        <v>103</v>
      </c>
      <c r="H26" s="15" t="s">
        <v>170</v>
      </c>
      <c r="I26" s="15" t="s">
        <v>171</v>
      </c>
    </row>
    <row r="27" spans="2:9" ht="24" customHeight="1">
      <c r="B27" s="9"/>
      <c r="C27" s="17">
        <v>19</v>
      </c>
      <c r="D27" s="17" t="s">
        <v>72</v>
      </c>
      <c r="E27" s="16" t="s">
        <v>73</v>
      </c>
      <c r="F27" s="16" t="s">
        <v>74</v>
      </c>
      <c r="G27" s="18" t="s">
        <v>99</v>
      </c>
      <c r="H27" s="15" t="s">
        <v>172</v>
      </c>
      <c r="I27" s="15" t="s">
        <v>173</v>
      </c>
    </row>
    <row r="28" spans="2:9" ht="24" customHeight="1">
      <c r="B28" s="9" t="s">
        <v>75</v>
      </c>
      <c r="C28" s="17">
        <v>20</v>
      </c>
      <c r="D28" s="17" t="s">
        <v>76</v>
      </c>
      <c r="E28" s="16" t="s">
        <v>77</v>
      </c>
      <c r="F28" s="16" t="s">
        <v>78</v>
      </c>
      <c r="G28" s="18" t="s">
        <v>102</v>
      </c>
      <c r="H28" s="15" t="s">
        <v>174</v>
      </c>
      <c r="I28" s="15" t="s">
        <v>175</v>
      </c>
    </row>
    <row r="29" spans="2:9" ht="48" customHeight="1">
      <c r="B29" s="9"/>
      <c r="C29" s="17">
        <v>21</v>
      </c>
      <c r="D29" s="17" t="s">
        <v>79</v>
      </c>
      <c r="E29" s="16" t="s">
        <v>80</v>
      </c>
      <c r="F29" s="16" t="s">
        <v>81</v>
      </c>
      <c r="G29" s="18" t="s">
        <v>102</v>
      </c>
      <c r="H29" s="15" t="s">
        <v>176</v>
      </c>
      <c r="I29" s="15" t="s">
        <v>177</v>
      </c>
    </row>
    <row r="30" spans="2:9" ht="34.5" customHeight="1">
      <c r="B30" s="9"/>
      <c r="C30" s="17">
        <v>22</v>
      </c>
      <c r="D30" s="17" t="s">
        <v>82</v>
      </c>
      <c r="E30" s="16" t="s">
        <v>83</v>
      </c>
      <c r="F30" s="16" t="s">
        <v>84</v>
      </c>
      <c r="G30" s="18" t="s">
        <v>99</v>
      </c>
      <c r="H30" s="15" t="s">
        <v>178</v>
      </c>
      <c r="I30" s="15" t="s">
        <v>179</v>
      </c>
    </row>
    <row r="31" spans="2:9" ht="34.5" customHeight="1">
      <c r="B31" s="9"/>
      <c r="C31" s="17">
        <v>23</v>
      </c>
      <c r="D31" s="17" t="s">
        <v>85</v>
      </c>
      <c r="E31" s="16" t="s">
        <v>86</v>
      </c>
      <c r="F31" s="16" t="s">
        <v>87</v>
      </c>
      <c r="G31" s="18" t="s">
        <v>102</v>
      </c>
      <c r="H31" s="15" t="s">
        <v>180</v>
      </c>
      <c r="I31" s="15" t="s">
        <v>181</v>
      </c>
    </row>
    <row r="32" spans="2:9" ht="24" customHeight="1">
      <c r="B32" s="9"/>
      <c r="C32" s="17">
        <v>24</v>
      </c>
      <c r="D32" s="17" t="s">
        <v>88</v>
      </c>
      <c r="E32" s="16" t="s">
        <v>89</v>
      </c>
      <c r="F32" s="19" t="s">
        <v>90</v>
      </c>
      <c r="G32" s="18" t="s">
        <v>99</v>
      </c>
      <c r="H32" s="15" t="s">
        <v>182</v>
      </c>
      <c r="I32" s="15" t="s">
        <v>183</v>
      </c>
    </row>
    <row r="33" spans="2:9" ht="34.5" customHeight="1">
      <c r="B33" s="9" t="s">
        <v>91</v>
      </c>
      <c r="C33" s="17">
        <v>25</v>
      </c>
      <c r="D33" s="20" t="s">
        <v>92</v>
      </c>
      <c r="E33" s="16" t="s">
        <v>93</v>
      </c>
      <c r="F33" s="16" t="s">
        <v>94</v>
      </c>
      <c r="G33" s="18" t="s">
        <v>102</v>
      </c>
      <c r="H33" s="15" t="s">
        <v>184</v>
      </c>
      <c r="I33" s="15" t="s">
        <v>185</v>
      </c>
    </row>
    <row r="34" spans="2:9" ht="24" customHeight="1">
      <c r="B34" s="9"/>
      <c r="C34" s="17">
        <v>26</v>
      </c>
      <c r="D34" s="20" t="s">
        <v>92</v>
      </c>
      <c r="E34" s="16" t="s">
        <v>95</v>
      </c>
      <c r="F34" s="16" t="s">
        <v>96</v>
      </c>
      <c r="G34" s="18" t="s">
        <v>102</v>
      </c>
      <c r="H34" s="15" t="s">
        <v>186</v>
      </c>
      <c r="I34" s="15" t="s">
        <v>187</v>
      </c>
    </row>
    <row r="35" spans="2:9" ht="48" customHeight="1">
      <c r="B35" s="9"/>
      <c r="C35" s="17">
        <v>27</v>
      </c>
      <c r="D35" s="20" t="s">
        <v>92</v>
      </c>
      <c r="E35" s="16" t="s">
        <v>97</v>
      </c>
      <c r="F35" s="16" t="s">
        <v>71</v>
      </c>
      <c r="G35" s="18" t="s">
        <v>102</v>
      </c>
      <c r="H35" s="15" t="s">
        <v>188</v>
      </c>
      <c r="I35" s="15" t="s">
        <v>189</v>
      </c>
    </row>
    <row r="37" spans="2:9" ht="19.5" customHeight="1">
      <c r="B37" s="8" t="s">
        <v>98</v>
      </c>
      <c r="C37" s="7" t="s">
        <v>99</v>
      </c>
      <c r="D37" s="7"/>
      <c r="E37" s="7"/>
      <c r="F37" s="22">
        <f>COUNTIF($G$9:$G$35,"통과")</f>
        <v>6</v>
      </c>
      <c r="G37" s="11" t="s">
        <v>100</v>
      </c>
      <c r="H37" s="11"/>
      <c r="I37" s="11"/>
    </row>
    <row r="38" spans="2:9" ht="19.5" customHeight="1">
      <c r="B38" s="8"/>
      <c r="C38" s="7" t="s">
        <v>101</v>
      </c>
      <c r="D38" s="7"/>
      <c r="E38" s="7"/>
      <c r="F38" s="22">
        <f>COUNTIF($G$9:$G$35,"실패")</f>
        <v>3</v>
      </c>
      <c r="G38" s="11"/>
      <c r="H38" s="11"/>
      <c r="I38" s="11"/>
    </row>
    <row r="39" spans="2:9" ht="19.5" customHeight="1">
      <c r="B39" s="8"/>
      <c r="C39" s="7" t="s">
        <v>102</v>
      </c>
      <c r="D39" s="7"/>
      <c r="E39" s="7"/>
      <c r="F39" s="22">
        <f>COUNTIF($G$9:$G$35,"미확인")</f>
        <v>13</v>
      </c>
      <c r="G39" s="11"/>
      <c r="H39" s="11"/>
      <c r="I39" s="11"/>
    </row>
    <row r="40" spans="2:9" ht="19.5" customHeight="1">
      <c r="B40" s="8"/>
      <c r="C40" s="7" t="s">
        <v>103</v>
      </c>
      <c r="D40" s="7"/>
      <c r="E40" s="7"/>
      <c r="F40" s="22">
        <f>COUNTIF($G$9:$G$35,"해당없음")</f>
        <v>5</v>
      </c>
      <c r="G40" s="11"/>
      <c r="H40" s="11"/>
      <c r="I40" s="11"/>
    </row>
    <row r="41" spans="2:9" ht="19.5" customHeight="1">
      <c r="B41" s="8"/>
      <c r="C41" s="7" t="s">
        <v>104</v>
      </c>
      <c r="D41" s="7"/>
      <c r="E41" s="7"/>
      <c r="F41" s="22">
        <f>COUNTA($E$9:$E$35)-COUNTA($G$9:$G$35)</f>
        <v>0</v>
      </c>
      <c r="G41" s="11"/>
      <c r="H41" s="11"/>
      <c r="I41" s="11"/>
    </row>
    <row r="42" spans="2:9" ht="19.5" customHeight="1">
      <c r="B42" s="8"/>
      <c r="C42" s="7" t="s">
        <v>105</v>
      </c>
      <c r="D42" s="7"/>
      <c r="E42" s="7"/>
      <c r="F42" s="22">
        <f>COUNTA($E$9:$E$35)</f>
        <v>27</v>
      </c>
      <c r="G42" s="11"/>
      <c r="H42" s="11"/>
      <c r="I42" s="11"/>
    </row>
    <row r="43" spans="2:9" ht="7.5" customHeight="1"/>
    <row r="44" spans="2:9" ht="21.75" customHeight="1">
      <c r="B44" s="6" t="s">
        <v>106</v>
      </c>
      <c r="C44" s="6"/>
      <c r="D44" s="6"/>
      <c r="E44" s="6"/>
      <c r="F44" s="6"/>
      <c r="G44" s="6"/>
      <c r="H44" s="6"/>
      <c r="I44" s="6"/>
    </row>
    <row r="45" spans="2:9" ht="42" customHeight="1">
      <c r="B45" s="21" t="s">
        <v>107</v>
      </c>
      <c r="C45" s="5" t="s">
        <v>190</v>
      </c>
      <c r="D45" s="5"/>
      <c r="E45" s="5"/>
      <c r="F45" s="5"/>
      <c r="G45" s="5"/>
      <c r="H45" s="5"/>
      <c r="I45" s="5"/>
    </row>
    <row r="46" spans="2:9" ht="42" customHeight="1">
      <c r="B46" s="21" t="s">
        <v>108</v>
      </c>
      <c r="C46" s="5" t="s">
        <v>191</v>
      </c>
      <c r="D46" s="5"/>
      <c r="E46" s="5"/>
      <c r="F46" s="5"/>
      <c r="G46" s="5"/>
      <c r="H46" s="5"/>
      <c r="I46" s="5"/>
    </row>
  </sheetData>
  <mergeCells count="25">
    <mergeCell ref="B44:I44"/>
    <mergeCell ref="C45:I45"/>
    <mergeCell ref="C46:I46"/>
    <mergeCell ref="G37:I42"/>
    <mergeCell ref="C38:E38"/>
    <mergeCell ref="C39:E39"/>
    <mergeCell ref="C40:E40"/>
    <mergeCell ref="C41:E41"/>
    <mergeCell ref="C42:E42"/>
    <mergeCell ref="B23:B27"/>
    <mergeCell ref="B28:B32"/>
    <mergeCell ref="B33:B35"/>
    <mergeCell ref="B37:B42"/>
    <mergeCell ref="C37:E37"/>
    <mergeCell ref="B7:I7"/>
    <mergeCell ref="B9:B10"/>
    <mergeCell ref="B11:B13"/>
    <mergeCell ref="B14:B17"/>
    <mergeCell ref="B18:B22"/>
    <mergeCell ref="B2:I2"/>
    <mergeCell ref="C3:E3"/>
    <mergeCell ref="F3:I6"/>
    <mergeCell ref="C4:E4"/>
    <mergeCell ref="C5:E5"/>
    <mergeCell ref="C6:E6"/>
  </mergeCells>
  <phoneticPr fontId="20" type="noConversion"/>
  <conditionalFormatting sqref="G9:G35">
    <cfRule type="cellIs" dxfId="3" priority="2" operator="equal">
      <formula>"통과"</formula>
    </cfRule>
    <cfRule type="cellIs" dxfId="2" priority="3" operator="equal">
      <formula>"실패"</formula>
    </cfRule>
    <cfRule type="cellIs" dxfId="1" priority="4" operator="equal">
      <formula>"미확인"</formula>
    </cfRule>
    <cfRule type="cellIs" dxfId="0" priority="5" operator="equal">
      <formula>"해당없음"</formula>
    </cfRule>
  </conditionalFormatting>
  <dataValidations count="2">
    <dataValidation type="list" allowBlank="1" sqref="C3" xr:uid="{00000000-0002-0000-0000-000000000000}">
      <formula1>"셀프,상호"</formula1>
      <formula2>0</formula2>
    </dataValidation>
    <dataValidation type="list" allowBlank="1" showErrorMessage="1" errorTitle="결과 선택" error="통과 / 실패 / 미확인 / 해당없음 중에서 선택하세요." sqref="G9:G35" xr:uid="{00000000-0002-0000-0000-000001000000}">
      <formula1>"통과,실패,미확인,해당없음"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17"/>
  <sheetViews>
    <sheetView showGridLines="0" zoomScaleNormal="100" workbookViewId="0"/>
  </sheetViews>
  <sheetFormatPr defaultColWidth="8.5" defaultRowHeight="16.5"/>
  <cols>
    <col min="1" max="1" width="3" customWidth="1"/>
    <col min="2" max="2" width="16" customWidth="1"/>
    <col min="3" max="3" width="6" customWidth="1"/>
    <col min="4" max="4" width="14" customWidth="1"/>
    <col min="5" max="5" width="46" customWidth="1"/>
    <col min="6" max="6" width="12" customWidth="1"/>
    <col min="7" max="7" width="26" customWidth="1"/>
    <col min="8" max="8" width="40" customWidth="1"/>
  </cols>
  <sheetData>
    <row r="2" spans="2:8" ht="30" customHeight="1">
      <c r="B2" s="4" t="s">
        <v>109</v>
      </c>
      <c r="C2" s="4"/>
      <c r="D2" s="4"/>
      <c r="E2" s="4"/>
      <c r="F2" s="4"/>
      <c r="G2" s="4"/>
      <c r="H2" s="4"/>
    </row>
    <row r="4" spans="2:8" ht="45.75" customHeight="1">
      <c r="B4" s="23" t="s">
        <v>110</v>
      </c>
      <c r="C4" s="3" t="s">
        <v>111</v>
      </c>
      <c r="D4" s="3"/>
      <c r="E4" s="3"/>
      <c r="F4" s="3"/>
      <c r="G4" s="3"/>
      <c r="H4" s="3"/>
    </row>
    <row r="5" spans="2:8" ht="45.75" customHeight="1">
      <c r="B5" s="23" t="s">
        <v>112</v>
      </c>
      <c r="C5" s="3" t="s">
        <v>113</v>
      </c>
      <c r="D5" s="3"/>
      <c r="E5" s="3"/>
      <c r="F5" s="3"/>
      <c r="G5" s="3"/>
      <c r="H5" s="3"/>
    </row>
    <row r="6" spans="2:8" ht="81.75" customHeight="1">
      <c r="B6" s="23" t="s">
        <v>12</v>
      </c>
      <c r="C6" s="3" t="s">
        <v>114</v>
      </c>
      <c r="D6" s="3"/>
      <c r="E6" s="3"/>
      <c r="F6" s="3"/>
      <c r="G6" s="3"/>
      <c r="H6" s="3"/>
    </row>
    <row r="7" spans="2:8" ht="45.75" customHeight="1">
      <c r="B7" s="23" t="s">
        <v>115</v>
      </c>
      <c r="C7" s="3" t="s">
        <v>116</v>
      </c>
      <c r="D7" s="3"/>
      <c r="E7" s="3"/>
      <c r="F7" s="3"/>
      <c r="G7" s="3"/>
      <c r="H7" s="3"/>
    </row>
    <row r="8" spans="2:8" ht="27.75" customHeight="1">
      <c r="B8" s="23" t="s">
        <v>98</v>
      </c>
      <c r="C8" s="3" t="s">
        <v>117</v>
      </c>
      <c r="D8" s="3"/>
      <c r="E8" s="3"/>
      <c r="F8" s="3"/>
      <c r="G8" s="3"/>
      <c r="H8" s="3"/>
    </row>
    <row r="9" spans="2:8" ht="45.75" customHeight="1">
      <c r="B9" s="23" t="s">
        <v>118</v>
      </c>
      <c r="C9" s="3" t="s">
        <v>119</v>
      </c>
      <c r="D9" s="3"/>
      <c r="E9" s="3"/>
      <c r="F9" s="3"/>
      <c r="G9" s="3"/>
      <c r="H9" s="3"/>
    </row>
    <row r="10" spans="2:8" ht="27.75" customHeight="1">
      <c r="B10" s="23" t="s">
        <v>120</v>
      </c>
      <c r="C10" s="2" t="s">
        <v>121</v>
      </c>
      <c r="D10" s="2"/>
      <c r="E10" s="2"/>
      <c r="F10" s="2"/>
      <c r="G10" s="2"/>
      <c r="H10" s="2"/>
    </row>
    <row r="12" spans="2:8" ht="15" customHeight="1">
      <c r="B12" s="1" t="s">
        <v>122</v>
      </c>
      <c r="C12" s="1"/>
      <c r="D12" s="1"/>
      <c r="E12" s="1"/>
      <c r="F12" s="1"/>
      <c r="G12" s="1"/>
      <c r="H12" s="1"/>
    </row>
    <row r="13" spans="2:8">
      <c r="B13" s="24" t="s">
        <v>7</v>
      </c>
      <c r="C13" s="24" t="s">
        <v>8</v>
      </c>
      <c r="D13" s="24" t="s">
        <v>9</v>
      </c>
      <c r="E13" s="24" t="s">
        <v>10</v>
      </c>
      <c r="F13" s="24" t="s">
        <v>12</v>
      </c>
      <c r="G13" s="24" t="s">
        <v>123</v>
      </c>
      <c r="H13" s="24" t="s">
        <v>124</v>
      </c>
    </row>
    <row r="14" spans="2:8" ht="45.75" customHeight="1">
      <c r="B14" s="16" t="s">
        <v>22</v>
      </c>
      <c r="C14" s="25">
        <v>4</v>
      </c>
      <c r="D14" s="26" t="s">
        <v>26</v>
      </c>
      <c r="E14" s="16" t="s">
        <v>27</v>
      </c>
      <c r="F14" s="27" t="s">
        <v>99</v>
      </c>
      <c r="G14" s="26" t="s">
        <v>125</v>
      </c>
      <c r="H14" s="16"/>
    </row>
    <row r="15" spans="2:8" ht="45.75" customHeight="1">
      <c r="B15" s="16" t="s">
        <v>32</v>
      </c>
      <c r="C15" s="25">
        <v>9</v>
      </c>
      <c r="D15" s="26" t="s">
        <v>42</v>
      </c>
      <c r="E15" s="16" t="s">
        <v>126</v>
      </c>
      <c r="F15" s="28" t="s">
        <v>101</v>
      </c>
      <c r="G15" s="26" t="s">
        <v>127</v>
      </c>
      <c r="H15" s="16" t="s">
        <v>128</v>
      </c>
    </row>
    <row r="16" spans="2:8" ht="45.75" customHeight="1">
      <c r="B16" s="16" t="s">
        <v>129</v>
      </c>
      <c r="C16" s="25">
        <v>16</v>
      </c>
      <c r="D16" s="26" t="s">
        <v>64</v>
      </c>
      <c r="E16" s="16" t="s">
        <v>130</v>
      </c>
      <c r="F16" s="29" t="s">
        <v>103</v>
      </c>
      <c r="G16" s="16"/>
      <c r="H16" s="26" t="s">
        <v>131</v>
      </c>
    </row>
    <row r="17" spans="2:8" ht="45.75" customHeight="1">
      <c r="B17" s="16" t="s">
        <v>75</v>
      </c>
      <c r="C17" s="25">
        <v>20</v>
      </c>
      <c r="D17" s="26" t="s">
        <v>76</v>
      </c>
      <c r="E17" s="16" t="s">
        <v>77</v>
      </c>
      <c r="F17" s="30" t="s">
        <v>102</v>
      </c>
      <c r="G17" s="16"/>
      <c r="H17" s="26" t="s">
        <v>132</v>
      </c>
    </row>
  </sheetData>
  <mergeCells count="9">
    <mergeCell ref="C8:H8"/>
    <mergeCell ref="C9:H9"/>
    <mergeCell ref="C10:H10"/>
    <mergeCell ref="B12:H12"/>
    <mergeCell ref="B2:H2"/>
    <mergeCell ref="C4:H4"/>
    <mergeCell ref="C5:H5"/>
    <mergeCell ref="C6:H6"/>
    <mergeCell ref="C7:H7"/>
  </mergeCells>
  <phoneticPr fontId="20" type="noConversion"/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/>
  </sheetViews>
  <sheetFormatPr defaultRowHeight="16.5"/>
  <cols>
    <col min="1" max="1" width="22" customWidth="1"/>
    <col min="2" max="2" width="24" customWidth="1"/>
    <col min="3" max="3" width="34" customWidth="1"/>
    <col min="4" max="4" width="85" customWidth="1"/>
    <col min="5" max="5" width="65" customWidth="1"/>
  </cols>
  <sheetData>
    <row r="1" spans="1:5" ht="54.95" customHeight="1">
      <c r="A1" s="16" t="s">
        <v>192</v>
      </c>
    </row>
    <row r="2" spans="1:5" ht="54.95" customHeight="1">
      <c r="A2" s="16" t="s">
        <v>193</v>
      </c>
      <c r="B2" s="16" t="s">
        <v>194</v>
      </c>
    </row>
    <row r="3" spans="1:5" ht="54.95" customHeight="1">
      <c r="A3" s="16" t="s">
        <v>195</v>
      </c>
      <c r="B3" s="16" t="s">
        <v>196</v>
      </c>
    </row>
    <row r="4" spans="1:5" ht="54.95" customHeight="1">
      <c r="A4" s="16" t="s">
        <v>197</v>
      </c>
      <c r="B4" s="16" t="s">
        <v>198</v>
      </c>
    </row>
    <row r="5" spans="1:5" ht="54.95" customHeight="1">
      <c r="A5" s="16" t="s">
        <v>8</v>
      </c>
      <c r="B5" s="16" t="s">
        <v>12</v>
      </c>
      <c r="C5" s="16" t="s">
        <v>199</v>
      </c>
      <c r="D5" s="16" t="s">
        <v>200</v>
      </c>
      <c r="E5" s="16" t="s">
        <v>201</v>
      </c>
    </row>
    <row r="6" spans="1:5" ht="54.95" customHeight="1">
      <c r="A6" s="16" t="s">
        <v>202</v>
      </c>
      <c r="B6" s="16" t="s">
        <v>102</v>
      </c>
      <c r="C6" s="16" t="s">
        <v>203</v>
      </c>
      <c r="D6" s="16" t="s">
        <v>137</v>
      </c>
      <c r="E6" s="16" t="s">
        <v>204</v>
      </c>
    </row>
    <row r="7" spans="1:5" ht="54.95" customHeight="1">
      <c r="A7" s="16" t="s">
        <v>205</v>
      </c>
      <c r="B7" s="16" t="s">
        <v>102</v>
      </c>
      <c r="C7" s="16" t="s">
        <v>206</v>
      </c>
      <c r="D7" s="16" t="s">
        <v>139</v>
      </c>
      <c r="E7" s="16" t="s">
        <v>207</v>
      </c>
    </row>
    <row r="8" spans="1:5" ht="54.95" customHeight="1">
      <c r="A8" s="16" t="s">
        <v>208</v>
      </c>
      <c r="B8" s="16" t="s">
        <v>101</v>
      </c>
      <c r="C8" s="16" t="s">
        <v>209</v>
      </c>
      <c r="D8" s="16" t="s">
        <v>141</v>
      </c>
      <c r="E8" s="16" t="s">
        <v>210</v>
      </c>
    </row>
    <row r="9" spans="1:5" ht="54.95" customHeight="1">
      <c r="A9" s="16" t="s">
        <v>211</v>
      </c>
      <c r="B9" s="16" t="s">
        <v>99</v>
      </c>
      <c r="C9" s="16" t="s">
        <v>212</v>
      </c>
      <c r="D9" s="16" t="s">
        <v>143</v>
      </c>
      <c r="E9" s="16" t="s">
        <v>213</v>
      </c>
    </row>
    <row r="10" spans="1:5" ht="54.95" customHeight="1">
      <c r="A10" s="16" t="s">
        <v>214</v>
      </c>
      <c r="B10" s="16" t="s">
        <v>101</v>
      </c>
      <c r="C10" s="16" t="s">
        <v>215</v>
      </c>
      <c r="D10" s="16" t="s">
        <v>145</v>
      </c>
      <c r="E10" s="16" t="s">
        <v>216</v>
      </c>
    </row>
    <row r="11" spans="1:5" ht="54.95" customHeight="1">
      <c r="A11" s="16" t="s">
        <v>217</v>
      </c>
      <c r="B11" s="16" t="s">
        <v>101</v>
      </c>
      <c r="C11" s="16" t="s">
        <v>218</v>
      </c>
      <c r="D11" s="16" t="s">
        <v>147</v>
      </c>
      <c r="E11" s="16" t="s">
        <v>219</v>
      </c>
    </row>
    <row r="12" spans="1:5" ht="54.95" customHeight="1">
      <c r="A12" s="16" t="s">
        <v>220</v>
      </c>
      <c r="B12" s="16" t="s">
        <v>99</v>
      </c>
      <c r="C12" s="16" t="s">
        <v>221</v>
      </c>
      <c r="D12" s="16" t="s">
        <v>149</v>
      </c>
      <c r="E12" s="16" t="s">
        <v>222</v>
      </c>
    </row>
    <row r="13" spans="1:5" ht="54.95" customHeight="1">
      <c r="A13" s="16" t="s">
        <v>223</v>
      </c>
      <c r="B13" s="16" t="s">
        <v>102</v>
      </c>
      <c r="C13" s="16" t="s">
        <v>224</v>
      </c>
      <c r="D13" s="16" t="s">
        <v>151</v>
      </c>
      <c r="E13" s="16" t="s">
        <v>225</v>
      </c>
    </row>
    <row r="14" spans="1:5" ht="54.95" customHeight="1">
      <c r="A14" s="16" t="s">
        <v>226</v>
      </c>
      <c r="B14" s="16" t="s">
        <v>102</v>
      </c>
      <c r="C14" s="16" t="s">
        <v>227</v>
      </c>
      <c r="D14" s="16" t="s">
        <v>153</v>
      </c>
      <c r="E14" s="16" t="s">
        <v>228</v>
      </c>
    </row>
    <row r="15" spans="1:5" ht="54.95" customHeight="1">
      <c r="A15" s="16" t="s">
        <v>229</v>
      </c>
      <c r="B15" s="16" t="s">
        <v>99</v>
      </c>
      <c r="C15" s="16" t="s">
        <v>230</v>
      </c>
      <c r="D15" s="16" t="s">
        <v>155</v>
      </c>
      <c r="E15" s="16" t="s">
        <v>231</v>
      </c>
    </row>
    <row r="16" spans="1:5" ht="54.95" customHeight="1">
      <c r="A16" s="16" t="s">
        <v>232</v>
      </c>
      <c r="B16" s="16" t="s">
        <v>102</v>
      </c>
      <c r="C16" s="16" t="s">
        <v>233</v>
      </c>
      <c r="D16" s="16" t="s">
        <v>157</v>
      </c>
      <c r="E16" s="16" t="s">
        <v>234</v>
      </c>
    </row>
    <row r="17" spans="1:5" ht="54.95" customHeight="1">
      <c r="A17" s="16" t="s">
        <v>235</v>
      </c>
      <c r="B17" s="16" t="s">
        <v>102</v>
      </c>
      <c r="C17" s="16" t="s">
        <v>236</v>
      </c>
      <c r="D17" s="16" t="s">
        <v>159</v>
      </c>
      <c r="E17" s="16" t="s">
        <v>237</v>
      </c>
    </row>
    <row r="18" spans="1:5" ht="54.95" customHeight="1">
      <c r="A18" s="16" t="s">
        <v>238</v>
      </c>
      <c r="B18" s="16" t="s">
        <v>102</v>
      </c>
      <c r="C18" s="16" t="s">
        <v>224</v>
      </c>
      <c r="D18" s="16" t="s">
        <v>161</v>
      </c>
      <c r="E18" s="16" t="s">
        <v>239</v>
      </c>
    </row>
    <row r="19" spans="1:5" ht="54.95" customHeight="1">
      <c r="A19" s="16" t="s">
        <v>240</v>
      </c>
      <c r="B19" s="16" t="s">
        <v>103</v>
      </c>
      <c r="C19" s="16" t="s">
        <v>241</v>
      </c>
      <c r="D19" s="16" t="s">
        <v>163</v>
      </c>
      <c r="E19" s="16" t="s">
        <v>242</v>
      </c>
    </row>
    <row r="20" spans="1:5" ht="54.95" customHeight="1">
      <c r="A20" s="16" t="s">
        <v>243</v>
      </c>
      <c r="B20" s="16" t="s">
        <v>103</v>
      </c>
      <c r="C20" s="16" t="s">
        <v>244</v>
      </c>
      <c r="D20" s="16" t="s">
        <v>165</v>
      </c>
      <c r="E20" s="16" t="s">
        <v>245</v>
      </c>
    </row>
    <row r="21" spans="1:5" ht="54.95" customHeight="1">
      <c r="A21" s="16" t="s">
        <v>246</v>
      </c>
      <c r="B21" s="16" t="s">
        <v>103</v>
      </c>
      <c r="C21" s="16" t="s">
        <v>247</v>
      </c>
      <c r="D21" s="16" t="s">
        <v>167</v>
      </c>
      <c r="E21" s="16" t="s">
        <v>248</v>
      </c>
    </row>
    <row r="22" spans="1:5" ht="54.95" customHeight="1">
      <c r="A22" s="16" t="s">
        <v>249</v>
      </c>
      <c r="B22" s="16" t="s">
        <v>103</v>
      </c>
      <c r="C22" s="16" t="s">
        <v>247</v>
      </c>
      <c r="D22" s="16" t="s">
        <v>169</v>
      </c>
      <c r="E22" s="16" t="s">
        <v>242</v>
      </c>
    </row>
    <row r="23" spans="1:5" ht="54.95" customHeight="1">
      <c r="A23" s="16" t="s">
        <v>250</v>
      </c>
      <c r="B23" s="16" t="s">
        <v>103</v>
      </c>
      <c r="C23" s="16" t="s">
        <v>247</v>
      </c>
      <c r="D23" s="16" t="s">
        <v>171</v>
      </c>
      <c r="E23" s="16" t="s">
        <v>242</v>
      </c>
    </row>
    <row r="24" spans="1:5" ht="54.95" customHeight="1">
      <c r="A24" s="16" t="s">
        <v>251</v>
      </c>
      <c r="B24" s="16" t="s">
        <v>99</v>
      </c>
      <c r="C24" s="16" t="s">
        <v>252</v>
      </c>
      <c r="D24" s="16" t="s">
        <v>173</v>
      </c>
      <c r="E24" s="16" t="s">
        <v>253</v>
      </c>
    </row>
    <row r="25" spans="1:5" ht="54.95" customHeight="1">
      <c r="A25" s="16" t="s">
        <v>254</v>
      </c>
      <c r="B25" s="16" t="s">
        <v>102</v>
      </c>
      <c r="C25" s="16" t="s">
        <v>255</v>
      </c>
      <c r="D25" s="16" t="s">
        <v>175</v>
      </c>
      <c r="E25" s="16" t="s">
        <v>256</v>
      </c>
    </row>
    <row r="26" spans="1:5" ht="54.95" customHeight="1">
      <c r="A26" s="16" t="s">
        <v>257</v>
      </c>
      <c r="B26" s="16" t="s">
        <v>102</v>
      </c>
      <c r="C26" s="16" t="s">
        <v>258</v>
      </c>
      <c r="D26" s="16" t="s">
        <v>177</v>
      </c>
      <c r="E26" s="16" t="s">
        <v>259</v>
      </c>
    </row>
    <row r="27" spans="1:5" ht="54.95" customHeight="1">
      <c r="A27" s="16" t="s">
        <v>260</v>
      </c>
      <c r="B27" s="16" t="s">
        <v>99</v>
      </c>
      <c r="C27" s="16" t="s">
        <v>261</v>
      </c>
      <c r="D27" s="16" t="s">
        <v>179</v>
      </c>
      <c r="E27" s="16" t="s">
        <v>262</v>
      </c>
    </row>
    <row r="28" spans="1:5" ht="54.95" customHeight="1">
      <c r="A28" s="16" t="s">
        <v>263</v>
      </c>
      <c r="B28" s="16" t="s">
        <v>102</v>
      </c>
      <c r="C28" s="16" t="s">
        <v>264</v>
      </c>
      <c r="D28" s="16" t="s">
        <v>181</v>
      </c>
      <c r="E28" s="16" t="s">
        <v>265</v>
      </c>
    </row>
    <row r="29" spans="1:5" ht="54.95" customHeight="1">
      <c r="A29" s="16" t="s">
        <v>266</v>
      </c>
      <c r="B29" s="16" t="s">
        <v>99</v>
      </c>
      <c r="C29" s="16" t="s">
        <v>267</v>
      </c>
      <c r="D29" s="16" t="s">
        <v>183</v>
      </c>
      <c r="E29" s="16" t="s">
        <v>268</v>
      </c>
    </row>
    <row r="30" spans="1:5" ht="54.95" customHeight="1">
      <c r="A30" s="16" t="s">
        <v>269</v>
      </c>
      <c r="B30" s="16" t="s">
        <v>102</v>
      </c>
      <c r="C30" s="16" t="s">
        <v>270</v>
      </c>
      <c r="D30" s="16" t="s">
        <v>185</v>
      </c>
      <c r="E30" s="16" t="s">
        <v>271</v>
      </c>
    </row>
    <row r="31" spans="1:5" ht="54.95" customHeight="1">
      <c r="A31" s="16" t="s">
        <v>272</v>
      </c>
      <c r="B31" s="16" t="s">
        <v>102</v>
      </c>
      <c r="C31" s="16" t="s">
        <v>273</v>
      </c>
      <c r="D31" s="16" t="s">
        <v>187</v>
      </c>
      <c r="E31" s="16" t="s">
        <v>274</v>
      </c>
    </row>
    <row r="32" spans="1:5" ht="54.95" customHeight="1">
      <c r="A32" s="16" t="s">
        <v>275</v>
      </c>
      <c r="B32" s="16" t="s">
        <v>102</v>
      </c>
      <c r="C32" s="16" t="s">
        <v>273</v>
      </c>
      <c r="D32" s="16" t="s">
        <v>189</v>
      </c>
      <c r="E32" s="16" t="s">
        <v>276</v>
      </c>
    </row>
    <row r="33" spans="1:2" ht="54.95" customHeight="1">
      <c r="A33" s="16" t="s">
        <v>277</v>
      </c>
      <c r="B33" s="16" t="s">
        <v>278</v>
      </c>
    </row>
    <row r="34" spans="1:2" ht="54.95" customHeight="1">
      <c r="A34" s="16" t="s">
        <v>279</v>
      </c>
      <c r="B34" s="16" t="s">
        <v>280</v>
      </c>
    </row>
    <row r="35" spans="1:2" ht="54.95" customHeight="1">
      <c r="A35" s="16" t="s">
        <v>281</v>
      </c>
      <c r="B35" s="16" t="s">
        <v>282</v>
      </c>
    </row>
    <row r="36" spans="1:2" ht="54.95" customHeight="1">
      <c r="A36" s="16" t="s">
        <v>283</v>
      </c>
      <c r="B36" s="16" t="s">
        <v>284</v>
      </c>
    </row>
    <row r="37" spans="1:2" ht="54.95" customHeight="1">
      <c r="A37" s="16" t="s">
        <v>285</v>
      </c>
      <c r="B37" s="16" t="s">
        <v>286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체크리스트</vt:lpstr>
      <vt:lpstr>작성 안내</vt:lpstr>
      <vt:lpstr>점검 근거</vt:lpstr>
      <vt:lpstr>체크리스트!Print_Area</vt:lpstr>
      <vt:lpstr>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SSAFY</cp:lastModifiedBy>
  <cp:revision>0</cp:revision>
  <dcterms:created xsi:type="dcterms:W3CDTF">2026-08-25T11:58:43Z</dcterms:created>
  <dcterms:modified xsi:type="dcterms:W3CDTF">2026-10-23T08:59:29Z</dcterms:modified>
  <dc:language>en-US</dc:language>
</cp:coreProperties>
</file>